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omePC\Desktop\QUANTUM ANALYTICS\EXCEL PROJECTS\Investment Preference\"/>
    </mc:Choice>
  </mc:AlternateContent>
  <xr:revisionPtr revIDLastSave="0" documentId="13_ncr:1_{ECD9B5A7-249F-450C-BF60-107F013E025A}" xr6:coauthVersionLast="47" xr6:coauthVersionMax="47" xr10:uidLastSave="{00000000-0000-0000-0000-000000000000}"/>
  <bookViews>
    <workbookView xWindow="-110" yWindow="-110" windowWidth="19420" windowHeight="10300" activeTab="4" xr2:uid="{7943D58B-0BFC-4164-B44B-9C417436823D}"/>
  </bookViews>
  <sheets>
    <sheet name="Investment Preference Data" sheetId="1" r:id="rId1"/>
    <sheet name="Notes" sheetId="2" r:id="rId2"/>
    <sheet name="Pivot Engine" sheetId="3" r:id="rId3"/>
    <sheet name="Introduction" sheetId="4" r:id="rId4"/>
    <sheet name="Dashboard" sheetId="5" r:id="rId5"/>
  </sheets>
  <definedNames>
    <definedName name="Slicer_Age_Group">#N/A</definedName>
    <definedName name="Slicer_Factor">#N/A</definedName>
    <definedName name="Slicer_gender">#N/A</definedName>
    <definedName name="Slicer_Savings_Obectives">#N/A</definedName>
  </definedNames>
  <calcPr calcId="191029"/>
  <pivotCaches>
    <pivotCache cacheId="4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alcChain>
</file>

<file path=xl/sharedStrings.xml><?xml version="1.0" encoding="utf-8"?>
<sst xmlns="http://schemas.openxmlformats.org/spreadsheetml/2006/main" count="729" uniqueCount="93">
  <si>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</si>
  <si>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</si>
  <si>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</si>
  <si>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</si>
  <si>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</si>
  <si>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</si>
  <si>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</si>
  <si>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</si>
  <si>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</si>
  <si>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</si>
  <si>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</si>
  <si>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</si>
  <si>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</si>
  <si>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</si>
  <si>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</si>
  <si>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</si>
  <si>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Avenue</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</si>
  <si>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</si>
  <si>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</si>
  <si>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</si>
  <si>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</si>
  <si>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</si>
  <si>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</si>
  <si>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</si>
  <si>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</si>
  <si>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</si>
  <si>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</si>
  <si>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</si>
  <si>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</si>
  <si>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</si>
  <si>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</si>
  <si>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</si>
  <si>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</si>
  <si>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</si>
  <si>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</si>
  <si>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</si>
  <si>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</si>
  <si>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</si>
  <si>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</si>
  <si>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</si>
  <si>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</si>
  <si>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</si>
  <si>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</si>
  <si>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</si>
  <si>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</si>
  <si>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</si>
  <si>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</si>
  <si>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</si>
  <si>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</si>
  <si>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</si>
  <si>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</si>
  <si>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</si>
  <si>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</si>
  <si>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</si>
  <si>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</si>
  <si>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</si>
  <si>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</si>
  <si>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</si>
  <si>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</si>
  <si>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</si>
  <si>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</si>
  <si>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</si>
  <si>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</si>
  <si>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</si>
  <si>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</si>
  <si>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</si>
  <si>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1. Analyze the preferred investment avenues (Mutual Funds, Equity Market, Debentures, etc.) by gender.</t>
  </si>
  <si>
    <t>Grand Total</t>
  </si>
  <si>
    <t>Count of Avenue</t>
  </si>
  <si>
    <t>Where do men vs. women prefer to invest their money?</t>
  </si>
  <si>
    <r>
      <t xml:space="preserve">how do men and women separately rank or choose the different options like </t>
    </r>
    <r>
      <rPr>
        <b/>
        <sz val="8"/>
        <color theme="1"/>
        <rFont val="Arial"/>
        <family val="2"/>
      </rPr>
      <t>Mutual Funds, Equity Market, and Debentures?</t>
    </r>
  </si>
  <si>
    <t>Count of gender</t>
  </si>
  <si>
    <t>Avenues</t>
  </si>
  <si>
    <t>Gender Labels</t>
  </si>
  <si>
    <t>Early Adulthood</t>
  </si>
  <si>
    <t>Established Adulthood</t>
  </si>
  <si>
    <t>Experienced Adulthood</t>
  </si>
  <si>
    <t>Age Group</t>
  </si>
  <si>
    <t>Avenues Labels</t>
  </si>
  <si>
    <t>Age Groups</t>
  </si>
  <si>
    <t>2. How many individuals gave their investment preferences based on the respective Age Distribution?</t>
  </si>
  <si>
    <t xml:space="preserve">3. Identify the primary factors (e.g., Returns, Risk) influencing investment decisions across 
different age groups. </t>
  </si>
  <si>
    <t>Count of Factor</t>
  </si>
  <si>
    <t>Age Groups Labels</t>
  </si>
  <si>
    <t xml:space="preserve">4. Show the various primary savings objectives (e.g., Retirement Plan, Health Care) based 
on different investment durations. </t>
  </si>
  <si>
    <t>Investment Durations</t>
  </si>
  <si>
    <t>Savings Obectives</t>
  </si>
  <si>
    <t>Count of Savings Objectives</t>
  </si>
  <si>
    <t>Savings Objectives Labels</t>
  </si>
  <si>
    <t xml:space="preserve">5.  Explore the reasons for investing in mutual funds (e.g., Better Returns, Fund 
Diversification) based on the expected return percentage. </t>
  </si>
  <si>
    <t>Returns %</t>
  </si>
  <si>
    <t>Count of Reason_Mutual</t>
  </si>
  <si>
    <t>Reason Mutual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</si>
</sst>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rial"/>
      <family val="2"/>
    </font>
    <font>
      <b/>
      <sz val="8"/>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6" fontId="0" fillId="0" borderId="0" xfId="42" applyNumberFormat="1" applyFont="1"/>
    <xf numFmtId="0" fontId="0" fillId="0" borderId="0" xfId="0"/>
    <xf numFmtId="0" fontId="0" fillId="0" borderId="0" xfId="0" pivotButton="1"/>
    <xf numFmtId="0" fontId="0" fillId="0" borderId="0" xfId="0" applyAlignment="1">
      <alignment horizontal="left"/>
    </xf>
    <xf numFmtId="0" fontId="0" fillId="0" borderId="0" xfId="0" applyNumberFormat="1"/>
    <xf numFmtId="0" fontId="19" fillId="0" borderId="0" xfId="0" applyFont="1" applyAlignment="1">
      <alignment vertical="center"/>
    </xf>
    <xf numFmtId="0" fontId="18" fillId="0" borderId="0" xfId="0" applyFont="1" applyAlignment="1">
      <alignment vertical="center"/>
    </xf>
    <xf numFmtId="0" fontId="0" fillId="0" borderId="0" xfId="0" applyAlignment="1"/>
    <xf numFmtId="0" fontId="0" fillId="33" borderId="0" xfId="0" applyFill="1"/>
    <xf numFmtId="0" fontId="16"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font>
        <b val="0"/>
        <i val="0"/>
        <strike val="0"/>
        <condense val="0"/>
        <extend val="0"/>
        <outline val="0"/>
        <shadow val="0"/>
        <u val="none"/>
        <vertAlign val="baseline"/>
        <sz val="11"/>
        <color theme="1"/>
        <name val="Aptos Narrow"/>
        <family val="2"/>
        <scheme val="minor"/>
      </font>
      <numFmt numFmtId="166" formatCode="&quot;$&quot;#,##0"/>
    </dxf>
    <dxf>
      <font>
        <b val="0"/>
        <i val="0"/>
        <strike val="0"/>
        <condense val="0"/>
        <extend val="0"/>
        <outline val="0"/>
        <shadow val="0"/>
        <u val="none"/>
        <vertAlign val="baseline"/>
        <sz val="11"/>
        <color theme="1"/>
        <name val="Aptos Narrow"/>
        <family val="2"/>
        <scheme val="minor"/>
      </font>
      <numFmt numFmtId="166" formatCode="&quot;$&quot;#,##0"/>
    </dxf>
    <dxf>
      <font>
        <b val="0"/>
        <i val="0"/>
        <strike val="0"/>
        <condense val="0"/>
        <extend val="0"/>
        <outline val="0"/>
        <shadow val="0"/>
        <u val="none"/>
        <vertAlign val="baseline"/>
        <sz val="11"/>
        <color theme="1"/>
        <name val="Aptos Narrow"/>
        <family val="2"/>
        <scheme val="minor"/>
      </font>
      <numFmt numFmtId="166" formatCode="&quot;$&quot;#,##0"/>
    </dxf>
    <dxf>
      <font>
        <b val="0"/>
        <i val="0"/>
        <strike val="0"/>
        <condense val="0"/>
        <extend val="0"/>
        <outline val="0"/>
        <shadow val="0"/>
        <u val="none"/>
        <vertAlign val="baseline"/>
        <sz val="11"/>
        <color theme="1"/>
        <name val="Aptos Narrow"/>
        <family val="2"/>
        <scheme val="minor"/>
      </font>
      <numFmt numFmtId="166" formatCode="&quot;$&quot;#,##0"/>
    </dxf>
    <dxf>
      <font>
        <b val="0"/>
        <i val="0"/>
        <strike val="0"/>
        <condense val="0"/>
        <extend val="0"/>
        <outline val="0"/>
        <shadow val="0"/>
        <u val="none"/>
        <vertAlign val="baseline"/>
        <sz val="11"/>
        <color theme="1"/>
        <name val="Aptos Narrow"/>
        <family val="2"/>
        <scheme val="minor"/>
      </font>
      <numFmt numFmtId="166" formatCode="&quot;$&quot;#,##0"/>
    </dxf>
    <dxf>
      <font>
        <b val="0"/>
        <i val="0"/>
        <strike val="0"/>
        <condense val="0"/>
        <extend val="0"/>
        <outline val="0"/>
        <shadow val="0"/>
        <u val="none"/>
        <vertAlign val="baseline"/>
        <sz val="11"/>
        <color theme="1"/>
        <name val="Aptos Narrow"/>
        <family val="2"/>
        <scheme val="minor"/>
      </font>
      <numFmt numFmtId="166" formatCode="&quot;$&quot;#,##0"/>
    </dxf>
    <dxf>
      <numFmt numFmtId="166" formatCode="&quot;$&quot;#,##0"/>
    </dxf>
  </dxfs>
  <tableStyles count="0" defaultTableStyle="TableStyleMedium2" defaultPivotStyle="PivotStyleLight16"/>
  <colors>
    <mruColors>
      <color rgb="FF328CC1"/>
      <color rgb="FF1D7A46"/>
      <color rgb="FF0B3C5D"/>
      <color rgb="FF94A3B8"/>
      <color rgb="FFD9B3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Engine'!$B$6:$B$7</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Engine'!$A$8:$A$12</c:f>
              <c:strCache>
                <c:ptCount val="4"/>
                <c:pt idx="0">
                  <c:v>Mutual Fund</c:v>
                </c:pt>
                <c:pt idx="1">
                  <c:v>Equity</c:v>
                </c:pt>
                <c:pt idx="2">
                  <c:v>Fixed Deposits</c:v>
                </c:pt>
                <c:pt idx="3">
                  <c:v>Public Provident Fund</c:v>
                </c:pt>
              </c:strCache>
            </c:strRef>
          </c:cat>
          <c:val>
            <c:numRef>
              <c:f>'Pivot Engine'!$B$8:$B$12</c:f>
              <c:numCache>
                <c:formatCode>General</c:formatCode>
                <c:ptCount val="4"/>
                <c:pt idx="0">
                  <c:v>8</c:v>
                </c:pt>
                <c:pt idx="1">
                  <c:v>3</c:v>
                </c:pt>
                <c:pt idx="2">
                  <c:v>3</c:v>
                </c:pt>
                <c:pt idx="3">
                  <c:v>1</c:v>
                </c:pt>
              </c:numCache>
            </c:numRef>
          </c:val>
          <c:extLst>
            <c:ext xmlns:c16="http://schemas.microsoft.com/office/drawing/2014/chart" uri="{C3380CC4-5D6E-409C-BE32-E72D297353CC}">
              <c16:uniqueId val="{00000000-DC44-4507-ADA7-760FABE8339C}"/>
            </c:ext>
          </c:extLst>
        </c:ser>
        <c:ser>
          <c:idx val="1"/>
          <c:order val="1"/>
          <c:tx>
            <c:strRef>
              <c:f>'Pivot Engine'!$C$6:$C$7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Engine'!$A$8:$A$12</c:f>
              <c:strCache>
                <c:ptCount val="4"/>
                <c:pt idx="0">
                  <c:v>Mutual Fund</c:v>
                </c:pt>
                <c:pt idx="1">
                  <c:v>Equity</c:v>
                </c:pt>
                <c:pt idx="2">
                  <c:v>Fixed Deposits</c:v>
                </c:pt>
                <c:pt idx="3">
                  <c:v>Public Provident Fund</c:v>
                </c:pt>
              </c:strCache>
            </c:strRef>
          </c:cat>
          <c:val>
            <c:numRef>
              <c:f>'Pivot Engine'!$C$8:$C$12</c:f>
              <c:numCache>
                <c:formatCode>General</c:formatCode>
                <c:ptCount val="4"/>
                <c:pt idx="0">
                  <c:v>10</c:v>
                </c:pt>
                <c:pt idx="1">
                  <c:v>7</c:v>
                </c:pt>
                <c:pt idx="2">
                  <c:v>6</c:v>
                </c:pt>
                <c:pt idx="3">
                  <c:v>2</c:v>
                </c:pt>
              </c:numCache>
            </c:numRef>
          </c:val>
          <c:extLst>
            <c:ext xmlns:c16="http://schemas.microsoft.com/office/drawing/2014/chart" uri="{C3380CC4-5D6E-409C-BE32-E72D297353CC}">
              <c16:uniqueId val="{00000001-DC44-4507-ADA7-760FABE8339C}"/>
            </c:ext>
          </c:extLst>
        </c:ser>
        <c:dLbls>
          <c:dLblPos val="outEnd"/>
          <c:showLegendKey val="0"/>
          <c:showVal val="1"/>
          <c:showCatName val="0"/>
          <c:showSerName val="0"/>
          <c:showPercent val="0"/>
          <c:showBubbleSize val="0"/>
        </c:dLbls>
        <c:gapWidth val="219"/>
        <c:overlap val="-27"/>
        <c:axId val="166717327"/>
        <c:axId val="2087218192"/>
      </c:barChart>
      <c:catAx>
        <c:axId val="16671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18192"/>
        <c:crosses val="autoZero"/>
        <c:auto val="1"/>
        <c:lblAlgn val="ctr"/>
        <c:lblOffset val="100"/>
        <c:noMultiLvlLbl val="0"/>
      </c:catAx>
      <c:valAx>
        <c:axId val="2087218192"/>
        <c:scaling>
          <c:orientation val="minMax"/>
        </c:scaling>
        <c:delete val="1"/>
        <c:axPos val="l"/>
        <c:numFmt formatCode="General" sourceLinked="1"/>
        <c:majorTickMark val="none"/>
        <c:minorTickMark val="none"/>
        <c:tickLblPos val="nextTo"/>
        <c:crossAx val="166717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a:t>
            </a:r>
            <a:r>
              <a:rPr lang="en-US" baseline="0"/>
              <a:t> Preferences By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Engine'!$B$23:$B$24</c:f>
              <c:strCache>
                <c:ptCount val="1"/>
                <c:pt idx="0">
                  <c:v>Equity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Engine'!$A$25:$A$28</c:f>
              <c:strCache>
                <c:ptCount val="3"/>
                <c:pt idx="0">
                  <c:v>Early Adulthood</c:v>
                </c:pt>
                <c:pt idx="1">
                  <c:v>Established Adulthood</c:v>
                </c:pt>
                <c:pt idx="2">
                  <c:v>Experienced Adulthood</c:v>
                </c:pt>
              </c:strCache>
            </c:strRef>
          </c:cat>
          <c:val>
            <c:numRef>
              <c:f>'Pivot Engine'!$B$25:$B$28</c:f>
              <c:numCache>
                <c:formatCode>General</c:formatCode>
                <c:ptCount val="3"/>
                <c:pt idx="0">
                  <c:v>3</c:v>
                </c:pt>
                <c:pt idx="1">
                  <c:v>5</c:v>
                </c:pt>
                <c:pt idx="2">
                  <c:v>2</c:v>
                </c:pt>
              </c:numCache>
            </c:numRef>
          </c:val>
          <c:extLst>
            <c:ext xmlns:c16="http://schemas.microsoft.com/office/drawing/2014/chart" uri="{C3380CC4-5D6E-409C-BE32-E72D297353CC}">
              <c16:uniqueId val="{00000000-C33F-4F77-A6FD-FE1E24EC10FD}"/>
            </c:ext>
          </c:extLst>
        </c:ser>
        <c:ser>
          <c:idx val="1"/>
          <c:order val="1"/>
          <c:tx>
            <c:strRef>
              <c:f>'Pivot Engine'!$C$23:$C$24</c:f>
              <c:strCache>
                <c:ptCount val="1"/>
                <c:pt idx="0">
                  <c:v>Fixed Deposits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Engine'!$A$25:$A$28</c:f>
              <c:strCache>
                <c:ptCount val="3"/>
                <c:pt idx="0">
                  <c:v>Early Adulthood</c:v>
                </c:pt>
                <c:pt idx="1">
                  <c:v>Established Adulthood</c:v>
                </c:pt>
                <c:pt idx="2">
                  <c:v>Experienced Adulthood</c:v>
                </c:pt>
              </c:strCache>
            </c:strRef>
          </c:cat>
          <c:val>
            <c:numRef>
              <c:f>'Pivot Engine'!$C$25:$C$28</c:f>
              <c:numCache>
                <c:formatCode>General</c:formatCode>
                <c:ptCount val="3"/>
                <c:pt idx="0">
                  <c:v>1</c:v>
                </c:pt>
                <c:pt idx="1">
                  <c:v>5</c:v>
                </c:pt>
                <c:pt idx="2">
                  <c:v>3</c:v>
                </c:pt>
              </c:numCache>
            </c:numRef>
          </c:val>
          <c:extLst>
            <c:ext xmlns:c16="http://schemas.microsoft.com/office/drawing/2014/chart" uri="{C3380CC4-5D6E-409C-BE32-E72D297353CC}">
              <c16:uniqueId val="{00000001-C33F-4F77-A6FD-FE1E24EC10FD}"/>
            </c:ext>
          </c:extLst>
        </c:ser>
        <c:ser>
          <c:idx val="2"/>
          <c:order val="2"/>
          <c:tx>
            <c:strRef>
              <c:f>'Pivot Engine'!$D$23:$D$24</c:f>
              <c:strCache>
                <c:ptCount val="1"/>
                <c:pt idx="0">
                  <c:v>Mutual Fund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Engine'!$A$25:$A$28</c:f>
              <c:strCache>
                <c:ptCount val="3"/>
                <c:pt idx="0">
                  <c:v>Early Adulthood</c:v>
                </c:pt>
                <c:pt idx="1">
                  <c:v>Established Adulthood</c:v>
                </c:pt>
                <c:pt idx="2">
                  <c:v>Experienced Adulthood</c:v>
                </c:pt>
              </c:strCache>
            </c:strRef>
          </c:cat>
          <c:val>
            <c:numRef>
              <c:f>'Pivot Engine'!$D$25:$D$28</c:f>
              <c:numCache>
                <c:formatCode>General</c:formatCode>
                <c:ptCount val="3"/>
                <c:pt idx="0">
                  <c:v>4</c:v>
                </c:pt>
                <c:pt idx="1">
                  <c:v>10</c:v>
                </c:pt>
                <c:pt idx="2">
                  <c:v>4</c:v>
                </c:pt>
              </c:numCache>
            </c:numRef>
          </c:val>
          <c:extLst>
            <c:ext xmlns:c16="http://schemas.microsoft.com/office/drawing/2014/chart" uri="{C3380CC4-5D6E-409C-BE32-E72D297353CC}">
              <c16:uniqueId val="{00000002-C33F-4F77-A6FD-FE1E24EC10FD}"/>
            </c:ext>
          </c:extLst>
        </c:ser>
        <c:ser>
          <c:idx val="3"/>
          <c:order val="3"/>
          <c:tx>
            <c:strRef>
              <c:f>'Pivot Engine'!$E$23:$E$24</c:f>
              <c:strCache>
                <c:ptCount val="1"/>
                <c:pt idx="0">
                  <c:v>Public Provident Fund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Engine'!$A$25:$A$28</c:f>
              <c:strCache>
                <c:ptCount val="3"/>
                <c:pt idx="0">
                  <c:v>Early Adulthood</c:v>
                </c:pt>
                <c:pt idx="1">
                  <c:v>Established Adulthood</c:v>
                </c:pt>
                <c:pt idx="2">
                  <c:v>Experienced Adulthood</c:v>
                </c:pt>
              </c:strCache>
            </c:strRef>
          </c:cat>
          <c:val>
            <c:numRef>
              <c:f>'Pivot Engine'!$E$25:$E$28</c:f>
              <c:numCache>
                <c:formatCode>General</c:formatCode>
                <c:ptCount val="3"/>
                <c:pt idx="0">
                  <c:v>2</c:v>
                </c:pt>
                <c:pt idx="1">
                  <c:v>1</c:v>
                </c:pt>
              </c:numCache>
            </c:numRef>
          </c:val>
          <c:extLst>
            <c:ext xmlns:c16="http://schemas.microsoft.com/office/drawing/2014/chart" uri="{C3380CC4-5D6E-409C-BE32-E72D297353CC}">
              <c16:uniqueId val="{00000003-C33F-4F77-A6FD-FE1E24EC10FD}"/>
            </c:ext>
          </c:extLst>
        </c:ser>
        <c:dLbls>
          <c:dLblPos val="outEnd"/>
          <c:showLegendKey val="0"/>
          <c:showVal val="1"/>
          <c:showCatName val="0"/>
          <c:showSerName val="0"/>
          <c:showPercent val="0"/>
          <c:showBubbleSize val="0"/>
        </c:dLbls>
        <c:gapWidth val="219"/>
        <c:overlap val="-27"/>
        <c:axId val="117386591"/>
        <c:axId val="122563375"/>
      </c:barChart>
      <c:catAx>
        <c:axId val="11738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63375"/>
        <c:crosses val="autoZero"/>
        <c:auto val="1"/>
        <c:lblAlgn val="ctr"/>
        <c:lblOffset val="100"/>
        <c:noMultiLvlLbl val="0"/>
      </c:catAx>
      <c:valAx>
        <c:axId val="122563375"/>
        <c:scaling>
          <c:orientation val="minMax"/>
        </c:scaling>
        <c:delete val="1"/>
        <c:axPos val="l"/>
        <c:numFmt formatCode="General" sourceLinked="1"/>
        <c:majorTickMark val="none"/>
        <c:minorTickMark val="none"/>
        <c:tickLblPos val="nextTo"/>
        <c:crossAx val="11738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a:t>
            </a:r>
            <a:r>
              <a:rPr lang="en-US" baseline="0"/>
              <a:t> Influencing Investments By Age Groups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Engine'!$B$49:$B$50</c:f>
              <c:strCache>
                <c:ptCount val="1"/>
                <c:pt idx="0">
                  <c:v>Locking Period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Engine'!$A$51:$A$54</c:f>
              <c:strCache>
                <c:ptCount val="3"/>
                <c:pt idx="0">
                  <c:v>Early Adulthood</c:v>
                </c:pt>
                <c:pt idx="1">
                  <c:v>Established Adulthood</c:v>
                </c:pt>
                <c:pt idx="2">
                  <c:v>Experienced Adulthood</c:v>
                </c:pt>
              </c:strCache>
            </c:strRef>
          </c:cat>
          <c:val>
            <c:numRef>
              <c:f>'Pivot Engine'!$B$51:$B$54</c:f>
              <c:numCache>
                <c:formatCode>General</c:formatCode>
                <c:ptCount val="3"/>
                <c:pt idx="0">
                  <c:v>1</c:v>
                </c:pt>
              </c:numCache>
            </c:numRef>
          </c:val>
          <c:extLst>
            <c:ext xmlns:c16="http://schemas.microsoft.com/office/drawing/2014/chart" uri="{C3380CC4-5D6E-409C-BE32-E72D297353CC}">
              <c16:uniqueId val="{00000000-5386-461B-BD1A-3C928457DE1E}"/>
            </c:ext>
          </c:extLst>
        </c:ser>
        <c:ser>
          <c:idx val="1"/>
          <c:order val="1"/>
          <c:tx>
            <c:strRef>
              <c:f>'Pivot Engine'!$C$49:$C$50</c:f>
              <c:strCache>
                <c:ptCount val="1"/>
                <c:pt idx="0">
                  <c:v>Returns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Engine'!$A$51:$A$54</c:f>
              <c:strCache>
                <c:ptCount val="3"/>
                <c:pt idx="0">
                  <c:v>Early Adulthood</c:v>
                </c:pt>
                <c:pt idx="1">
                  <c:v>Established Adulthood</c:v>
                </c:pt>
                <c:pt idx="2">
                  <c:v>Experienced Adulthood</c:v>
                </c:pt>
              </c:strCache>
            </c:strRef>
          </c:cat>
          <c:val>
            <c:numRef>
              <c:f>'Pivot Engine'!$C$51:$C$54</c:f>
              <c:numCache>
                <c:formatCode>General</c:formatCode>
                <c:ptCount val="3"/>
                <c:pt idx="0">
                  <c:v>4</c:v>
                </c:pt>
                <c:pt idx="1">
                  <c:v>16</c:v>
                </c:pt>
                <c:pt idx="2">
                  <c:v>5</c:v>
                </c:pt>
              </c:numCache>
            </c:numRef>
          </c:val>
          <c:extLst>
            <c:ext xmlns:c16="http://schemas.microsoft.com/office/drawing/2014/chart" uri="{C3380CC4-5D6E-409C-BE32-E72D297353CC}">
              <c16:uniqueId val="{00000001-5386-461B-BD1A-3C928457DE1E}"/>
            </c:ext>
          </c:extLst>
        </c:ser>
        <c:ser>
          <c:idx val="2"/>
          <c:order val="2"/>
          <c:tx>
            <c:strRef>
              <c:f>'Pivot Engine'!$D$49:$D$50</c:f>
              <c:strCache>
                <c:ptCount val="1"/>
                <c:pt idx="0">
                  <c:v>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Engine'!$A$51:$A$54</c:f>
              <c:strCache>
                <c:ptCount val="3"/>
                <c:pt idx="0">
                  <c:v>Early Adulthood</c:v>
                </c:pt>
                <c:pt idx="1">
                  <c:v>Established Adulthood</c:v>
                </c:pt>
                <c:pt idx="2">
                  <c:v>Experienced Adulthood</c:v>
                </c:pt>
              </c:strCache>
            </c:strRef>
          </c:cat>
          <c:val>
            <c:numRef>
              <c:f>'Pivot Engine'!$D$51:$D$54</c:f>
              <c:numCache>
                <c:formatCode>General</c:formatCode>
                <c:ptCount val="3"/>
                <c:pt idx="0">
                  <c:v>5</c:v>
                </c:pt>
                <c:pt idx="1">
                  <c:v>5</c:v>
                </c:pt>
                <c:pt idx="2">
                  <c:v>4</c:v>
                </c:pt>
              </c:numCache>
            </c:numRef>
          </c:val>
          <c:extLst>
            <c:ext xmlns:c16="http://schemas.microsoft.com/office/drawing/2014/chart" uri="{C3380CC4-5D6E-409C-BE32-E72D297353CC}">
              <c16:uniqueId val="{00000002-5386-461B-BD1A-3C928457DE1E}"/>
            </c:ext>
          </c:extLst>
        </c:ser>
        <c:dLbls>
          <c:dLblPos val="outEnd"/>
          <c:showLegendKey val="0"/>
          <c:showVal val="1"/>
          <c:showCatName val="0"/>
          <c:showSerName val="0"/>
          <c:showPercent val="0"/>
          <c:showBubbleSize val="0"/>
        </c:dLbls>
        <c:gapWidth val="219"/>
        <c:overlap val="-27"/>
        <c:axId val="215850543"/>
        <c:axId val="122558575"/>
      </c:barChart>
      <c:catAx>
        <c:axId val="21585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8575"/>
        <c:crosses val="autoZero"/>
        <c:auto val="1"/>
        <c:lblAlgn val="ctr"/>
        <c:lblOffset val="100"/>
        <c:noMultiLvlLbl val="0"/>
      </c:catAx>
      <c:valAx>
        <c:axId val="122558575"/>
        <c:scaling>
          <c:orientation val="minMax"/>
        </c:scaling>
        <c:delete val="1"/>
        <c:axPos val="l"/>
        <c:numFmt formatCode="General" sourceLinked="1"/>
        <c:majorTickMark val="none"/>
        <c:minorTickMark val="none"/>
        <c:tickLblPos val="nextTo"/>
        <c:crossAx val="215850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Savings</a:t>
            </a:r>
            <a:r>
              <a:rPr lang="en-US" baseline="0"/>
              <a:t> Objectives By Investment Durations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Engine'!$B$67:$B$68</c:f>
              <c:strCache>
                <c:ptCount val="1"/>
                <c:pt idx="0">
                  <c:v>Education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Engine'!$A$69:$A$73</c:f>
              <c:strCache>
                <c:ptCount val="4"/>
                <c:pt idx="0">
                  <c:v>3-5 years</c:v>
                </c:pt>
                <c:pt idx="1">
                  <c:v>1-3 years</c:v>
                </c:pt>
                <c:pt idx="2">
                  <c:v>Less than 1 year</c:v>
                </c:pt>
                <c:pt idx="3">
                  <c:v>More than 5 years</c:v>
                </c:pt>
              </c:strCache>
            </c:strRef>
          </c:cat>
          <c:val>
            <c:numRef>
              <c:f>'Pivot Engine'!$B$69:$B$73</c:f>
              <c:numCache>
                <c:formatCode>General</c:formatCode>
                <c:ptCount val="4"/>
                <c:pt idx="1">
                  <c:v>3</c:v>
                </c:pt>
              </c:numCache>
            </c:numRef>
          </c:val>
          <c:extLst>
            <c:ext xmlns:c16="http://schemas.microsoft.com/office/drawing/2014/chart" uri="{C3380CC4-5D6E-409C-BE32-E72D297353CC}">
              <c16:uniqueId val="{00000000-1066-4406-8878-32BFE1091D3F}"/>
            </c:ext>
          </c:extLst>
        </c:ser>
        <c:ser>
          <c:idx val="1"/>
          <c:order val="1"/>
          <c:tx>
            <c:strRef>
              <c:f>'Pivot Engine'!$C$67:$C$68</c:f>
              <c:strCache>
                <c:ptCount val="1"/>
                <c:pt idx="0">
                  <c:v>Health Care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Engine'!$A$69:$A$73</c:f>
              <c:strCache>
                <c:ptCount val="4"/>
                <c:pt idx="0">
                  <c:v>3-5 years</c:v>
                </c:pt>
                <c:pt idx="1">
                  <c:v>1-3 years</c:v>
                </c:pt>
                <c:pt idx="2">
                  <c:v>Less than 1 year</c:v>
                </c:pt>
                <c:pt idx="3">
                  <c:v>More than 5 years</c:v>
                </c:pt>
              </c:strCache>
            </c:strRef>
          </c:cat>
          <c:val>
            <c:numRef>
              <c:f>'Pivot Engine'!$C$69:$C$73</c:f>
              <c:numCache>
                <c:formatCode>General</c:formatCode>
                <c:ptCount val="4"/>
                <c:pt idx="0">
                  <c:v>6</c:v>
                </c:pt>
                <c:pt idx="1">
                  <c:v>6</c:v>
                </c:pt>
                <c:pt idx="3">
                  <c:v>1</c:v>
                </c:pt>
              </c:numCache>
            </c:numRef>
          </c:val>
          <c:extLst>
            <c:ext xmlns:c16="http://schemas.microsoft.com/office/drawing/2014/chart" uri="{C3380CC4-5D6E-409C-BE32-E72D297353CC}">
              <c16:uniqueId val="{00000001-1066-4406-8878-32BFE1091D3F}"/>
            </c:ext>
          </c:extLst>
        </c:ser>
        <c:ser>
          <c:idx val="2"/>
          <c:order val="2"/>
          <c:tx>
            <c:strRef>
              <c:f>'Pivot Engine'!$D$67:$D$68</c:f>
              <c:strCache>
                <c:ptCount val="1"/>
                <c:pt idx="0">
                  <c:v>Retirement Plan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Engine'!$A$69:$A$73</c:f>
              <c:strCache>
                <c:ptCount val="4"/>
                <c:pt idx="0">
                  <c:v>3-5 years</c:v>
                </c:pt>
                <c:pt idx="1">
                  <c:v>1-3 years</c:v>
                </c:pt>
                <c:pt idx="2">
                  <c:v>Less than 1 year</c:v>
                </c:pt>
                <c:pt idx="3">
                  <c:v>More than 5 years</c:v>
                </c:pt>
              </c:strCache>
            </c:strRef>
          </c:cat>
          <c:val>
            <c:numRef>
              <c:f>'Pivot Engine'!$D$69:$D$73</c:f>
              <c:numCache>
                <c:formatCode>General</c:formatCode>
                <c:ptCount val="4"/>
                <c:pt idx="0">
                  <c:v>13</c:v>
                </c:pt>
                <c:pt idx="1">
                  <c:v>9</c:v>
                </c:pt>
                <c:pt idx="2">
                  <c:v>2</c:v>
                </c:pt>
              </c:numCache>
            </c:numRef>
          </c:val>
          <c:extLst>
            <c:ext xmlns:c16="http://schemas.microsoft.com/office/drawing/2014/chart" uri="{C3380CC4-5D6E-409C-BE32-E72D297353CC}">
              <c16:uniqueId val="{00000002-1066-4406-8878-32BFE1091D3F}"/>
            </c:ext>
          </c:extLst>
        </c:ser>
        <c:dLbls>
          <c:dLblPos val="outEnd"/>
          <c:showLegendKey val="0"/>
          <c:showVal val="1"/>
          <c:showCatName val="0"/>
          <c:showSerName val="0"/>
          <c:showPercent val="0"/>
          <c:showBubbleSize val="0"/>
        </c:dLbls>
        <c:gapWidth val="219"/>
        <c:overlap val="-27"/>
        <c:axId val="215882559"/>
        <c:axId val="122490415"/>
      </c:barChart>
      <c:catAx>
        <c:axId val="21588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0415"/>
        <c:crosses val="autoZero"/>
        <c:auto val="1"/>
        <c:lblAlgn val="ctr"/>
        <c:lblOffset val="100"/>
        <c:noMultiLvlLbl val="0"/>
      </c:catAx>
      <c:valAx>
        <c:axId val="122490415"/>
        <c:scaling>
          <c:orientation val="minMax"/>
        </c:scaling>
        <c:delete val="1"/>
        <c:axPos val="l"/>
        <c:numFmt formatCode="General" sourceLinked="1"/>
        <c:majorTickMark val="none"/>
        <c:minorTickMark val="none"/>
        <c:tickLblPos val="nextTo"/>
        <c:crossAx val="215882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Mutual Fund Reasons By Expected Returns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Engine'!$B$95:$B$96</c:f>
              <c:strCache>
                <c:ptCount val="1"/>
                <c:pt idx="0">
                  <c:v>Better Returns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Engine'!$A$97:$A$100</c:f>
              <c:strCache>
                <c:ptCount val="3"/>
                <c:pt idx="0">
                  <c:v>10%-20%</c:v>
                </c:pt>
                <c:pt idx="1">
                  <c:v>20%-30%</c:v>
                </c:pt>
                <c:pt idx="2">
                  <c:v>30%-40%</c:v>
                </c:pt>
              </c:strCache>
            </c:strRef>
          </c:cat>
          <c:val>
            <c:numRef>
              <c:f>'Pivot Engine'!$B$97:$B$100</c:f>
              <c:numCache>
                <c:formatCode>General</c:formatCode>
                <c:ptCount val="3"/>
                <c:pt idx="1">
                  <c:v>22</c:v>
                </c:pt>
                <c:pt idx="2">
                  <c:v>2</c:v>
                </c:pt>
              </c:numCache>
            </c:numRef>
          </c:val>
          <c:extLst>
            <c:ext xmlns:c16="http://schemas.microsoft.com/office/drawing/2014/chart" uri="{C3380CC4-5D6E-409C-BE32-E72D297353CC}">
              <c16:uniqueId val="{00000000-0A28-4A86-8737-DBAE012FC455}"/>
            </c:ext>
          </c:extLst>
        </c:ser>
        <c:ser>
          <c:idx val="1"/>
          <c:order val="1"/>
          <c:tx>
            <c:strRef>
              <c:f>'Pivot Engine'!$C$95:$C$96</c:f>
              <c:strCache>
                <c:ptCount val="1"/>
                <c:pt idx="0">
                  <c:v>Fund Diversification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Engine'!$A$97:$A$100</c:f>
              <c:strCache>
                <c:ptCount val="3"/>
                <c:pt idx="0">
                  <c:v>10%-20%</c:v>
                </c:pt>
                <c:pt idx="1">
                  <c:v>20%-30%</c:v>
                </c:pt>
                <c:pt idx="2">
                  <c:v>30%-40%</c:v>
                </c:pt>
              </c:strCache>
            </c:strRef>
          </c:cat>
          <c:val>
            <c:numRef>
              <c:f>'Pivot Engine'!$C$97:$C$100</c:f>
              <c:numCache>
                <c:formatCode>General</c:formatCode>
                <c:ptCount val="3"/>
                <c:pt idx="0">
                  <c:v>1</c:v>
                </c:pt>
                <c:pt idx="1">
                  <c:v>9</c:v>
                </c:pt>
                <c:pt idx="2">
                  <c:v>3</c:v>
                </c:pt>
              </c:numCache>
            </c:numRef>
          </c:val>
          <c:extLst>
            <c:ext xmlns:c16="http://schemas.microsoft.com/office/drawing/2014/chart" uri="{C3380CC4-5D6E-409C-BE32-E72D297353CC}">
              <c16:uniqueId val="{00000001-0A28-4A86-8737-DBAE012FC455}"/>
            </c:ext>
          </c:extLst>
        </c:ser>
        <c:ser>
          <c:idx val="2"/>
          <c:order val="2"/>
          <c:tx>
            <c:strRef>
              <c:f>'Pivot Engine'!$D$95:$D$96</c:f>
              <c:strCache>
                <c:ptCount val="1"/>
                <c:pt idx="0">
                  <c:v>Tax Benefits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Engine'!$A$97:$A$100</c:f>
              <c:strCache>
                <c:ptCount val="3"/>
                <c:pt idx="0">
                  <c:v>10%-20%</c:v>
                </c:pt>
                <c:pt idx="1">
                  <c:v>20%-30%</c:v>
                </c:pt>
                <c:pt idx="2">
                  <c:v>30%-40%</c:v>
                </c:pt>
              </c:strCache>
            </c:strRef>
          </c:cat>
          <c:val>
            <c:numRef>
              <c:f>'Pivot Engine'!$D$97:$D$100</c:f>
              <c:numCache>
                <c:formatCode>General</c:formatCode>
                <c:ptCount val="3"/>
                <c:pt idx="0">
                  <c:v>2</c:v>
                </c:pt>
                <c:pt idx="1">
                  <c:v>1</c:v>
                </c:pt>
              </c:numCache>
            </c:numRef>
          </c:val>
          <c:extLst>
            <c:ext xmlns:c16="http://schemas.microsoft.com/office/drawing/2014/chart" uri="{C3380CC4-5D6E-409C-BE32-E72D297353CC}">
              <c16:uniqueId val="{00000002-0A28-4A86-8737-DBAE012FC455}"/>
            </c:ext>
          </c:extLst>
        </c:ser>
        <c:dLbls>
          <c:dLblPos val="outEnd"/>
          <c:showLegendKey val="0"/>
          <c:showVal val="1"/>
          <c:showCatName val="0"/>
          <c:showSerName val="0"/>
          <c:showPercent val="0"/>
          <c:showBubbleSize val="0"/>
        </c:dLbls>
        <c:gapWidth val="219"/>
        <c:overlap val="-27"/>
        <c:axId val="202203311"/>
        <c:axId val="122522095"/>
      </c:barChart>
      <c:catAx>
        <c:axId val="20220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2095"/>
        <c:crosses val="autoZero"/>
        <c:auto val="1"/>
        <c:lblAlgn val="ctr"/>
        <c:lblOffset val="100"/>
        <c:noMultiLvlLbl val="0"/>
      </c:catAx>
      <c:valAx>
        <c:axId val="122522095"/>
        <c:scaling>
          <c:orientation val="minMax"/>
        </c:scaling>
        <c:delete val="1"/>
        <c:axPos val="l"/>
        <c:numFmt formatCode="General" sourceLinked="1"/>
        <c:majorTickMark val="none"/>
        <c:minorTickMark val="none"/>
        <c:tickLblPos val="nextTo"/>
        <c:crossAx val="202203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Investments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28C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B3C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Engine'!$B$6:$B$7</c:f>
              <c:strCache>
                <c:ptCount val="1"/>
                <c:pt idx="0">
                  <c:v>Female</c:v>
                </c:pt>
              </c:strCache>
            </c:strRef>
          </c:tx>
          <c:spPr>
            <a:solidFill>
              <a:srgbClr val="328C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Engine'!$A$8:$A$12</c:f>
              <c:strCache>
                <c:ptCount val="4"/>
                <c:pt idx="0">
                  <c:v>Mutual Fund</c:v>
                </c:pt>
                <c:pt idx="1">
                  <c:v>Equity</c:v>
                </c:pt>
                <c:pt idx="2">
                  <c:v>Fixed Deposits</c:v>
                </c:pt>
                <c:pt idx="3">
                  <c:v>Public Provident Fund</c:v>
                </c:pt>
              </c:strCache>
            </c:strRef>
          </c:cat>
          <c:val>
            <c:numRef>
              <c:f>'Pivot Engine'!$B$8:$B$12</c:f>
              <c:numCache>
                <c:formatCode>General</c:formatCode>
                <c:ptCount val="4"/>
                <c:pt idx="0">
                  <c:v>8</c:v>
                </c:pt>
                <c:pt idx="1">
                  <c:v>3</c:v>
                </c:pt>
                <c:pt idx="2">
                  <c:v>3</c:v>
                </c:pt>
                <c:pt idx="3">
                  <c:v>1</c:v>
                </c:pt>
              </c:numCache>
            </c:numRef>
          </c:val>
          <c:extLst>
            <c:ext xmlns:c16="http://schemas.microsoft.com/office/drawing/2014/chart" uri="{C3380CC4-5D6E-409C-BE32-E72D297353CC}">
              <c16:uniqueId val="{00000000-27C2-4E0D-AFF8-2891C0D758CD}"/>
            </c:ext>
          </c:extLst>
        </c:ser>
        <c:ser>
          <c:idx val="1"/>
          <c:order val="1"/>
          <c:tx>
            <c:strRef>
              <c:f>'Pivot Engine'!$C$6:$C$7</c:f>
              <c:strCache>
                <c:ptCount val="1"/>
                <c:pt idx="0">
                  <c:v>Male</c:v>
                </c:pt>
              </c:strCache>
            </c:strRef>
          </c:tx>
          <c:spPr>
            <a:solidFill>
              <a:srgbClr val="0B3C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Engine'!$A$8:$A$12</c:f>
              <c:strCache>
                <c:ptCount val="4"/>
                <c:pt idx="0">
                  <c:v>Mutual Fund</c:v>
                </c:pt>
                <c:pt idx="1">
                  <c:v>Equity</c:v>
                </c:pt>
                <c:pt idx="2">
                  <c:v>Fixed Deposits</c:v>
                </c:pt>
                <c:pt idx="3">
                  <c:v>Public Provident Fund</c:v>
                </c:pt>
              </c:strCache>
            </c:strRef>
          </c:cat>
          <c:val>
            <c:numRef>
              <c:f>'Pivot Engine'!$C$8:$C$12</c:f>
              <c:numCache>
                <c:formatCode>General</c:formatCode>
                <c:ptCount val="4"/>
                <c:pt idx="0">
                  <c:v>10</c:v>
                </c:pt>
                <c:pt idx="1">
                  <c:v>7</c:v>
                </c:pt>
                <c:pt idx="2">
                  <c:v>6</c:v>
                </c:pt>
                <c:pt idx="3">
                  <c:v>2</c:v>
                </c:pt>
              </c:numCache>
            </c:numRef>
          </c:val>
          <c:extLst>
            <c:ext xmlns:c16="http://schemas.microsoft.com/office/drawing/2014/chart" uri="{C3380CC4-5D6E-409C-BE32-E72D297353CC}">
              <c16:uniqueId val="{00000001-27C2-4E0D-AFF8-2891C0D758CD}"/>
            </c:ext>
          </c:extLst>
        </c:ser>
        <c:dLbls>
          <c:dLblPos val="outEnd"/>
          <c:showLegendKey val="0"/>
          <c:showVal val="1"/>
          <c:showCatName val="0"/>
          <c:showSerName val="0"/>
          <c:showPercent val="0"/>
          <c:showBubbleSize val="0"/>
        </c:dLbls>
        <c:gapWidth val="150"/>
        <c:overlap val="-27"/>
        <c:axId val="166717327"/>
        <c:axId val="2087218192"/>
      </c:barChart>
      <c:catAx>
        <c:axId val="16671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7218192"/>
        <c:crosses val="autoZero"/>
        <c:auto val="1"/>
        <c:lblAlgn val="ctr"/>
        <c:lblOffset val="100"/>
        <c:noMultiLvlLbl val="0"/>
      </c:catAx>
      <c:valAx>
        <c:axId val="2087218192"/>
        <c:scaling>
          <c:orientation val="minMax"/>
        </c:scaling>
        <c:delete val="1"/>
        <c:axPos val="l"/>
        <c:numFmt formatCode="General" sourceLinked="1"/>
        <c:majorTickMark val="none"/>
        <c:minorTickMark val="none"/>
        <c:tickLblPos val="nextTo"/>
        <c:crossAx val="166717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Engine!PivotTable2</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Investment</a:t>
            </a:r>
            <a:r>
              <a:rPr lang="en-US" b="1" baseline="0">
                <a:solidFill>
                  <a:schemeClr val="tx1"/>
                </a:solidFill>
              </a:rPr>
              <a:t> Preferences By Age Groups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D7A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28C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3C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4A3B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Engine'!$B$23:$B$24</c:f>
              <c:strCache>
                <c:ptCount val="1"/>
                <c:pt idx="0">
                  <c:v>Equity</c:v>
                </c:pt>
              </c:strCache>
            </c:strRef>
          </c:tx>
          <c:spPr>
            <a:solidFill>
              <a:srgbClr val="1D7A4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Engine'!$A$25:$A$28</c:f>
              <c:strCache>
                <c:ptCount val="3"/>
                <c:pt idx="0">
                  <c:v>Early Adulthood</c:v>
                </c:pt>
                <c:pt idx="1">
                  <c:v>Established Adulthood</c:v>
                </c:pt>
                <c:pt idx="2">
                  <c:v>Experienced Adulthood</c:v>
                </c:pt>
              </c:strCache>
            </c:strRef>
          </c:cat>
          <c:val>
            <c:numRef>
              <c:f>'Pivot Engine'!$B$25:$B$28</c:f>
              <c:numCache>
                <c:formatCode>General</c:formatCode>
                <c:ptCount val="3"/>
                <c:pt idx="0">
                  <c:v>3</c:v>
                </c:pt>
                <c:pt idx="1">
                  <c:v>5</c:v>
                </c:pt>
                <c:pt idx="2">
                  <c:v>2</c:v>
                </c:pt>
              </c:numCache>
            </c:numRef>
          </c:val>
          <c:extLst>
            <c:ext xmlns:c16="http://schemas.microsoft.com/office/drawing/2014/chart" uri="{C3380CC4-5D6E-409C-BE32-E72D297353CC}">
              <c16:uniqueId val="{00000000-B714-4EAD-BF15-0BEF1F8841A3}"/>
            </c:ext>
          </c:extLst>
        </c:ser>
        <c:ser>
          <c:idx val="1"/>
          <c:order val="1"/>
          <c:tx>
            <c:strRef>
              <c:f>'Pivot Engine'!$C$23:$C$24</c:f>
              <c:strCache>
                <c:ptCount val="1"/>
                <c:pt idx="0">
                  <c:v>Fixed Deposits</c:v>
                </c:pt>
              </c:strCache>
            </c:strRef>
          </c:tx>
          <c:spPr>
            <a:solidFill>
              <a:srgbClr val="328C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Engine'!$A$25:$A$28</c:f>
              <c:strCache>
                <c:ptCount val="3"/>
                <c:pt idx="0">
                  <c:v>Early Adulthood</c:v>
                </c:pt>
                <c:pt idx="1">
                  <c:v>Established Adulthood</c:v>
                </c:pt>
                <c:pt idx="2">
                  <c:v>Experienced Adulthood</c:v>
                </c:pt>
              </c:strCache>
            </c:strRef>
          </c:cat>
          <c:val>
            <c:numRef>
              <c:f>'Pivot Engine'!$C$25:$C$28</c:f>
              <c:numCache>
                <c:formatCode>General</c:formatCode>
                <c:ptCount val="3"/>
                <c:pt idx="0">
                  <c:v>1</c:v>
                </c:pt>
                <c:pt idx="1">
                  <c:v>5</c:v>
                </c:pt>
                <c:pt idx="2">
                  <c:v>3</c:v>
                </c:pt>
              </c:numCache>
            </c:numRef>
          </c:val>
          <c:extLst>
            <c:ext xmlns:c16="http://schemas.microsoft.com/office/drawing/2014/chart" uri="{C3380CC4-5D6E-409C-BE32-E72D297353CC}">
              <c16:uniqueId val="{00000001-B714-4EAD-BF15-0BEF1F8841A3}"/>
            </c:ext>
          </c:extLst>
        </c:ser>
        <c:ser>
          <c:idx val="2"/>
          <c:order val="2"/>
          <c:tx>
            <c:strRef>
              <c:f>'Pivot Engine'!$D$23:$D$24</c:f>
              <c:strCache>
                <c:ptCount val="1"/>
                <c:pt idx="0">
                  <c:v>Mutual Fund</c:v>
                </c:pt>
              </c:strCache>
            </c:strRef>
          </c:tx>
          <c:spPr>
            <a:solidFill>
              <a:srgbClr val="0B3C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Engine'!$A$25:$A$28</c:f>
              <c:strCache>
                <c:ptCount val="3"/>
                <c:pt idx="0">
                  <c:v>Early Adulthood</c:v>
                </c:pt>
                <c:pt idx="1">
                  <c:v>Established Adulthood</c:v>
                </c:pt>
                <c:pt idx="2">
                  <c:v>Experienced Adulthood</c:v>
                </c:pt>
              </c:strCache>
            </c:strRef>
          </c:cat>
          <c:val>
            <c:numRef>
              <c:f>'Pivot Engine'!$D$25:$D$28</c:f>
              <c:numCache>
                <c:formatCode>General</c:formatCode>
                <c:ptCount val="3"/>
                <c:pt idx="0">
                  <c:v>4</c:v>
                </c:pt>
                <c:pt idx="1">
                  <c:v>10</c:v>
                </c:pt>
                <c:pt idx="2">
                  <c:v>4</c:v>
                </c:pt>
              </c:numCache>
            </c:numRef>
          </c:val>
          <c:extLst>
            <c:ext xmlns:c16="http://schemas.microsoft.com/office/drawing/2014/chart" uri="{C3380CC4-5D6E-409C-BE32-E72D297353CC}">
              <c16:uniqueId val="{00000002-B714-4EAD-BF15-0BEF1F8841A3}"/>
            </c:ext>
          </c:extLst>
        </c:ser>
        <c:ser>
          <c:idx val="3"/>
          <c:order val="3"/>
          <c:tx>
            <c:strRef>
              <c:f>'Pivot Engine'!$E$23:$E$24</c:f>
              <c:strCache>
                <c:ptCount val="1"/>
                <c:pt idx="0">
                  <c:v>Public Provident Fund</c:v>
                </c:pt>
              </c:strCache>
            </c:strRef>
          </c:tx>
          <c:spPr>
            <a:solidFill>
              <a:srgbClr val="94A3B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Engine'!$A$25:$A$28</c:f>
              <c:strCache>
                <c:ptCount val="3"/>
                <c:pt idx="0">
                  <c:v>Early Adulthood</c:v>
                </c:pt>
                <c:pt idx="1">
                  <c:v>Established Adulthood</c:v>
                </c:pt>
                <c:pt idx="2">
                  <c:v>Experienced Adulthood</c:v>
                </c:pt>
              </c:strCache>
            </c:strRef>
          </c:cat>
          <c:val>
            <c:numRef>
              <c:f>'Pivot Engine'!$E$25:$E$28</c:f>
              <c:numCache>
                <c:formatCode>General</c:formatCode>
                <c:ptCount val="3"/>
                <c:pt idx="0">
                  <c:v>2</c:v>
                </c:pt>
                <c:pt idx="1">
                  <c:v>1</c:v>
                </c:pt>
              </c:numCache>
            </c:numRef>
          </c:val>
          <c:extLst>
            <c:ext xmlns:c16="http://schemas.microsoft.com/office/drawing/2014/chart" uri="{C3380CC4-5D6E-409C-BE32-E72D297353CC}">
              <c16:uniqueId val="{00000003-B714-4EAD-BF15-0BEF1F8841A3}"/>
            </c:ext>
          </c:extLst>
        </c:ser>
        <c:dLbls>
          <c:dLblPos val="outEnd"/>
          <c:showLegendKey val="0"/>
          <c:showVal val="1"/>
          <c:showCatName val="0"/>
          <c:showSerName val="0"/>
          <c:showPercent val="0"/>
          <c:showBubbleSize val="0"/>
        </c:dLbls>
        <c:gapWidth val="150"/>
        <c:overlap val="-27"/>
        <c:axId val="117386591"/>
        <c:axId val="122563375"/>
      </c:barChart>
      <c:catAx>
        <c:axId val="11738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563375"/>
        <c:crosses val="autoZero"/>
        <c:auto val="1"/>
        <c:lblAlgn val="ctr"/>
        <c:lblOffset val="100"/>
        <c:noMultiLvlLbl val="0"/>
      </c:catAx>
      <c:valAx>
        <c:axId val="122563375"/>
        <c:scaling>
          <c:orientation val="minMax"/>
        </c:scaling>
        <c:delete val="1"/>
        <c:axPos val="l"/>
        <c:numFmt formatCode="General" sourceLinked="1"/>
        <c:majorTickMark val="none"/>
        <c:minorTickMark val="none"/>
        <c:tickLblPos val="nextTo"/>
        <c:crossAx val="11738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Engine!PivotTable5</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Factor</a:t>
            </a:r>
            <a:r>
              <a:rPr lang="en-US" b="1" baseline="0">
                <a:solidFill>
                  <a:schemeClr val="tx1"/>
                </a:solidFill>
              </a:rPr>
              <a:t> Influencing Investments By Age Groups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28C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3C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D7A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Engine'!$B$49:$B$50</c:f>
              <c:strCache>
                <c:ptCount val="1"/>
                <c:pt idx="0">
                  <c:v>Locking Period</c:v>
                </c:pt>
              </c:strCache>
            </c:strRef>
          </c:tx>
          <c:spPr>
            <a:solidFill>
              <a:srgbClr val="328C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Engine'!$A$51:$A$54</c:f>
              <c:strCache>
                <c:ptCount val="3"/>
                <c:pt idx="0">
                  <c:v>Early Adulthood</c:v>
                </c:pt>
                <c:pt idx="1">
                  <c:v>Established Adulthood</c:v>
                </c:pt>
                <c:pt idx="2">
                  <c:v>Experienced Adulthood</c:v>
                </c:pt>
              </c:strCache>
            </c:strRef>
          </c:cat>
          <c:val>
            <c:numRef>
              <c:f>'Pivot Engine'!$B$51:$B$54</c:f>
              <c:numCache>
                <c:formatCode>General</c:formatCode>
                <c:ptCount val="3"/>
                <c:pt idx="0">
                  <c:v>1</c:v>
                </c:pt>
              </c:numCache>
            </c:numRef>
          </c:val>
          <c:extLst>
            <c:ext xmlns:c16="http://schemas.microsoft.com/office/drawing/2014/chart" uri="{C3380CC4-5D6E-409C-BE32-E72D297353CC}">
              <c16:uniqueId val="{00000000-469C-4460-AE0A-119EA49A6E40}"/>
            </c:ext>
          </c:extLst>
        </c:ser>
        <c:ser>
          <c:idx val="1"/>
          <c:order val="1"/>
          <c:tx>
            <c:strRef>
              <c:f>'Pivot Engine'!$C$49:$C$50</c:f>
              <c:strCache>
                <c:ptCount val="1"/>
                <c:pt idx="0">
                  <c:v>Returns</c:v>
                </c:pt>
              </c:strCache>
            </c:strRef>
          </c:tx>
          <c:spPr>
            <a:solidFill>
              <a:srgbClr val="0B3C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Engine'!$A$51:$A$54</c:f>
              <c:strCache>
                <c:ptCount val="3"/>
                <c:pt idx="0">
                  <c:v>Early Adulthood</c:v>
                </c:pt>
                <c:pt idx="1">
                  <c:v>Established Adulthood</c:v>
                </c:pt>
                <c:pt idx="2">
                  <c:v>Experienced Adulthood</c:v>
                </c:pt>
              </c:strCache>
            </c:strRef>
          </c:cat>
          <c:val>
            <c:numRef>
              <c:f>'Pivot Engine'!$C$51:$C$54</c:f>
              <c:numCache>
                <c:formatCode>General</c:formatCode>
                <c:ptCount val="3"/>
                <c:pt idx="0">
                  <c:v>4</c:v>
                </c:pt>
                <c:pt idx="1">
                  <c:v>16</c:v>
                </c:pt>
                <c:pt idx="2">
                  <c:v>5</c:v>
                </c:pt>
              </c:numCache>
            </c:numRef>
          </c:val>
          <c:extLst>
            <c:ext xmlns:c16="http://schemas.microsoft.com/office/drawing/2014/chart" uri="{C3380CC4-5D6E-409C-BE32-E72D297353CC}">
              <c16:uniqueId val="{00000001-469C-4460-AE0A-119EA49A6E40}"/>
            </c:ext>
          </c:extLst>
        </c:ser>
        <c:ser>
          <c:idx val="2"/>
          <c:order val="2"/>
          <c:tx>
            <c:strRef>
              <c:f>'Pivot Engine'!$D$49:$D$50</c:f>
              <c:strCache>
                <c:ptCount val="1"/>
                <c:pt idx="0">
                  <c:v>Risk</c:v>
                </c:pt>
              </c:strCache>
            </c:strRef>
          </c:tx>
          <c:spPr>
            <a:solidFill>
              <a:srgbClr val="1D7A4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Engine'!$A$51:$A$54</c:f>
              <c:strCache>
                <c:ptCount val="3"/>
                <c:pt idx="0">
                  <c:v>Early Adulthood</c:v>
                </c:pt>
                <c:pt idx="1">
                  <c:v>Established Adulthood</c:v>
                </c:pt>
                <c:pt idx="2">
                  <c:v>Experienced Adulthood</c:v>
                </c:pt>
              </c:strCache>
            </c:strRef>
          </c:cat>
          <c:val>
            <c:numRef>
              <c:f>'Pivot Engine'!$D$51:$D$54</c:f>
              <c:numCache>
                <c:formatCode>General</c:formatCode>
                <c:ptCount val="3"/>
                <c:pt idx="0">
                  <c:v>5</c:v>
                </c:pt>
                <c:pt idx="1">
                  <c:v>5</c:v>
                </c:pt>
                <c:pt idx="2">
                  <c:v>4</c:v>
                </c:pt>
              </c:numCache>
            </c:numRef>
          </c:val>
          <c:extLst>
            <c:ext xmlns:c16="http://schemas.microsoft.com/office/drawing/2014/chart" uri="{C3380CC4-5D6E-409C-BE32-E72D297353CC}">
              <c16:uniqueId val="{00000002-469C-4460-AE0A-119EA49A6E40}"/>
            </c:ext>
          </c:extLst>
        </c:ser>
        <c:dLbls>
          <c:dLblPos val="outEnd"/>
          <c:showLegendKey val="0"/>
          <c:showVal val="1"/>
          <c:showCatName val="0"/>
          <c:showSerName val="0"/>
          <c:showPercent val="0"/>
          <c:showBubbleSize val="0"/>
        </c:dLbls>
        <c:gapWidth val="150"/>
        <c:overlap val="-27"/>
        <c:axId val="215850543"/>
        <c:axId val="122558575"/>
      </c:barChart>
      <c:catAx>
        <c:axId val="21585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558575"/>
        <c:crosses val="autoZero"/>
        <c:auto val="1"/>
        <c:lblAlgn val="ctr"/>
        <c:lblOffset val="100"/>
        <c:noMultiLvlLbl val="0"/>
      </c:catAx>
      <c:valAx>
        <c:axId val="122558575"/>
        <c:scaling>
          <c:orientation val="minMax"/>
        </c:scaling>
        <c:delete val="1"/>
        <c:axPos val="l"/>
        <c:numFmt formatCode="General" sourceLinked="1"/>
        <c:majorTickMark val="none"/>
        <c:minorTickMark val="none"/>
        <c:tickLblPos val="nextTo"/>
        <c:crossAx val="215850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Engine!PivotTable6</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Savings</a:t>
            </a:r>
            <a:r>
              <a:rPr lang="en-US" b="1" baseline="0">
                <a:solidFill>
                  <a:schemeClr val="tx1"/>
                </a:solidFill>
              </a:rPr>
              <a:t> Objectives By Investment Durations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28C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D7A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B3C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Engine'!$B$67:$B$68</c:f>
              <c:strCache>
                <c:ptCount val="1"/>
                <c:pt idx="0">
                  <c:v>Education</c:v>
                </c:pt>
              </c:strCache>
            </c:strRef>
          </c:tx>
          <c:spPr>
            <a:solidFill>
              <a:srgbClr val="328C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Engine'!$A$69:$A$73</c:f>
              <c:strCache>
                <c:ptCount val="4"/>
                <c:pt idx="0">
                  <c:v>3-5 years</c:v>
                </c:pt>
                <c:pt idx="1">
                  <c:v>1-3 years</c:v>
                </c:pt>
                <c:pt idx="2">
                  <c:v>Less than 1 year</c:v>
                </c:pt>
                <c:pt idx="3">
                  <c:v>More than 5 years</c:v>
                </c:pt>
              </c:strCache>
            </c:strRef>
          </c:cat>
          <c:val>
            <c:numRef>
              <c:f>'Pivot Engine'!$B$69:$B$73</c:f>
              <c:numCache>
                <c:formatCode>General</c:formatCode>
                <c:ptCount val="4"/>
                <c:pt idx="1">
                  <c:v>3</c:v>
                </c:pt>
              </c:numCache>
            </c:numRef>
          </c:val>
          <c:extLst>
            <c:ext xmlns:c16="http://schemas.microsoft.com/office/drawing/2014/chart" uri="{C3380CC4-5D6E-409C-BE32-E72D297353CC}">
              <c16:uniqueId val="{00000000-B8B9-41E1-AC56-368C3166D4C4}"/>
            </c:ext>
          </c:extLst>
        </c:ser>
        <c:ser>
          <c:idx val="1"/>
          <c:order val="1"/>
          <c:tx>
            <c:strRef>
              <c:f>'Pivot Engine'!$C$67:$C$68</c:f>
              <c:strCache>
                <c:ptCount val="1"/>
                <c:pt idx="0">
                  <c:v>Health Care</c:v>
                </c:pt>
              </c:strCache>
            </c:strRef>
          </c:tx>
          <c:spPr>
            <a:solidFill>
              <a:srgbClr val="1D7A4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Engine'!$A$69:$A$73</c:f>
              <c:strCache>
                <c:ptCount val="4"/>
                <c:pt idx="0">
                  <c:v>3-5 years</c:v>
                </c:pt>
                <c:pt idx="1">
                  <c:v>1-3 years</c:v>
                </c:pt>
                <c:pt idx="2">
                  <c:v>Less than 1 year</c:v>
                </c:pt>
                <c:pt idx="3">
                  <c:v>More than 5 years</c:v>
                </c:pt>
              </c:strCache>
            </c:strRef>
          </c:cat>
          <c:val>
            <c:numRef>
              <c:f>'Pivot Engine'!$C$69:$C$73</c:f>
              <c:numCache>
                <c:formatCode>General</c:formatCode>
                <c:ptCount val="4"/>
                <c:pt idx="0">
                  <c:v>6</c:v>
                </c:pt>
                <c:pt idx="1">
                  <c:v>6</c:v>
                </c:pt>
                <c:pt idx="3">
                  <c:v>1</c:v>
                </c:pt>
              </c:numCache>
            </c:numRef>
          </c:val>
          <c:extLst>
            <c:ext xmlns:c16="http://schemas.microsoft.com/office/drawing/2014/chart" uri="{C3380CC4-5D6E-409C-BE32-E72D297353CC}">
              <c16:uniqueId val="{00000001-B8B9-41E1-AC56-368C3166D4C4}"/>
            </c:ext>
          </c:extLst>
        </c:ser>
        <c:ser>
          <c:idx val="2"/>
          <c:order val="2"/>
          <c:tx>
            <c:strRef>
              <c:f>'Pivot Engine'!$D$67:$D$68</c:f>
              <c:strCache>
                <c:ptCount val="1"/>
                <c:pt idx="0">
                  <c:v>Retirement Plan</c:v>
                </c:pt>
              </c:strCache>
            </c:strRef>
          </c:tx>
          <c:spPr>
            <a:solidFill>
              <a:srgbClr val="0B3C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Engine'!$A$69:$A$73</c:f>
              <c:strCache>
                <c:ptCount val="4"/>
                <c:pt idx="0">
                  <c:v>3-5 years</c:v>
                </c:pt>
                <c:pt idx="1">
                  <c:v>1-3 years</c:v>
                </c:pt>
                <c:pt idx="2">
                  <c:v>Less than 1 year</c:v>
                </c:pt>
                <c:pt idx="3">
                  <c:v>More than 5 years</c:v>
                </c:pt>
              </c:strCache>
            </c:strRef>
          </c:cat>
          <c:val>
            <c:numRef>
              <c:f>'Pivot Engine'!$D$69:$D$73</c:f>
              <c:numCache>
                <c:formatCode>General</c:formatCode>
                <c:ptCount val="4"/>
                <c:pt idx="0">
                  <c:v>13</c:v>
                </c:pt>
                <c:pt idx="1">
                  <c:v>9</c:v>
                </c:pt>
                <c:pt idx="2">
                  <c:v>2</c:v>
                </c:pt>
              </c:numCache>
            </c:numRef>
          </c:val>
          <c:extLst>
            <c:ext xmlns:c16="http://schemas.microsoft.com/office/drawing/2014/chart" uri="{C3380CC4-5D6E-409C-BE32-E72D297353CC}">
              <c16:uniqueId val="{00000002-B8B9-41E1-AC56-368C3166D4C4}"/>
            </c:ext>
          </c:extLst>
        </c:ser>
        <c:dLbls>
          <c:dLblPos val="outEnd"/>
          <c:showLegendKey val="0"/>
          <c:showVal val="1"/>
          <c:showCatName val="0"/>
          <c:showSerName val="0"/>
          <c:showPercent val="0"/>
          <c:showBubbleSize val="0"/>
        </c:dLbls>
        <c:gapWidth val="150"/>
        <c:overlap val="-27"/>
        <c:axId val="215882559"/>
        <c:axId val="122490415"/>
      </c:barChart>
      <c:catAx>
        <c:axId val="21588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490415"/>
        <c:crosses val="autoZero"/>
        <c:auto val="1"/>
        <c:lblAlgn val="ctr"/>
        <c:lblOffset val="100"/>
        <c:noMultiLvlLbl val="0"/>
      </c:catAx>
      <c:valAx>
        <c:axId val="122490415"/>
        <c:scaling>
          <c:orientation val="minMax"/>
        </c:scaling>
        <c:delete val="1"/>
        <c:axPos val="l"/>
        <c:numFmt formatCode="General" sourceLinked="1"/>
        <c:majorTickMark val="none"/>
        <c:minorTickMark val="none"/>
        <c:tickLblPos val="nextTo"/>
        <c:crossAx val="215882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Preference Data.xlsx]Pivot Engine!PivotTable7</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Mutual Fund Reasons By Expected Returns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B3C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D7A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28CC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Engine'!$B$95:$B$96</c:f>
              <c:strCache>
                <c:ptCount val="1"/>
                <c:pt idx="0">
                  <c:v>Better Returns</c:v>
                </c:pt>
              </c:strCache>
            </c:strRef>
          </c:tx>
          <c:spPr>
            <a:solidFill>
              <a:srgbClr val="0B3C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Engine'!$A$97:$A$100</c:f>
              <c:strCache>
                <c:ptCount val="3"/>
                <c:pt idx="0">
                  <c:v>10%-20%</c:v>
                </c:pt>
                <c:pt idx="1">
                  <c:v>20%-30%</c:v>
                </c:pt>
                <c:pt idx="2">
                  <c:v>30%-40%</c:v>
                </c:pt>
              </c:strCache>
            </c:strRef>
          </c:cat>
          <c:val>
            <c:numRef>
              <c:f>'Pivot Engine'!$B$97:$B$100</c:f>
              <c:numCache>
                <c:formatCode>General</c:formatCode>
                <c:ptCount val="3"/>
                <c:pt idx="1">
                  <c:v>22</c:v>
                </c:pt>
                <c:pt idx="2">
                  <c:v>2</c:v>
                </c:pt>
              </c:numCache>
            </c:numRef>
          </c:val>
          <c:extLst>
            <c:ext xmlns:c16="http://schemas.microsoft.com/office/drawing/2014/chart" uri="{C3380CC4-5D6E-409C-BE32-E72D297353CC}">
              <c16:uniqueId val="{00000000-C656-4E0A-8F35-4E3825273A66}"/>
            </c:ext>
          </c:extLst>
        </c:ser>
        <c:ser>
          <c:idx val="1"/>
          <c:order val="1"/>
          <c:tx>
            <c:strRef>
              <c:f>'Pivot Engine'!$C$95:$C$96</c:f>
              <c:strCache>
                <c:ptCount val="1"/>
                <c:pt idx="0">
                  <c:v>Fund Diversification</c:v>
                </c:pt>
              </c:strCache>
            </c:strRef>
          </c:tx>
          <c:spPr>
            <a:solidFill>
              <a:srgbClr val="1D7A4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Engine'!$A$97:$A$100</c:f>
              <c:strCache>
                <c:ptCount val="3"/>
                <c:pt idx="0">
                  <c:v>10%-20%</c:v>
                </c:pt>
                <c:pt idx="1">
                  <c:v>20%-30%</c:v>
                </c:pt>
                <c:pt idx="2">
                  <c:v>30%-40%</c:v>
                </c:pt>
              </c:strCache>
            </c:strRef>
          </c:cat>
          <c:val>
            <c:numRef>
              <c:f>'Pivot Engine'!$C$97:$C$100</c:f>
              <c:numCache>
                <c:formatCode>General</c:formatCode>
                <c:ptCount val="3"/>
                <c:pt idx="0">
                  <c:v>1</c:v>
                </c:pt>
                <c:pt idx="1">
                  <c:v>9</c:v>
                </c:pt>
                <c:pt idx="2">
                  <c:v>3</c:v>
                </c:pt>
              </c:numCache>
            </c:numRef>
          </c:val>
          <c:extLst>
            <c:ext xmlns:c16="http://schemas.microsoft.com/office/drawing/2014/chart" uri="{C3380CC4-5D6E-409C-BE32-E72D297353CC}">
              <c16:uniqueId val="{00000001-C656-4E0A-8F35-4E3825273A66}"/>
            </c:ext>
          </c:extLst>
        </c:ser>
        <c:ser>
          <c:idx val="2"/>
          <c:order val="2"/>
          <c:tx>
            <c:strRef>
              <c:f>'Pivot Engine'!$D$95:$D$96</c:f>
              <c:strCache>
                <c:ptCount val="1"/>
                <c:pt idx="0">
                  <c:v>Tax Benefits</c:v>
                </c:pt>
              </c:strCache>
            </c:strRef>
          </c:tx>
          <c:spPr>
            <a:solidFill>
              <a:srgbClr val="328CC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Engine'!$A$97:$A$100</c:f>
              <c:strCache>
                <c:ptCount val="3"/>
                <c:pt idx="0">
                  <c:v>10%-20%</c:v>
                </c:pt>
                <c:pt idx="1">
                  <c:v>20%-30%</c:v>
                </c:pt>
                <c:pt idx="2">
                  <c:v>30%-40%</c:v>
                </c:pt>
              </c:strCache>
            </c:strRef>
          </c:cat>
          <c:val>
            <c:numRef>
              <c:f>'Pivot Engine'!$D$97:$D$100</c:f>
              <c:numCache>
                <c:formatCode>General</c:formatCode>
                <c:ptCount val="3"/>
                <c:pt idx="0">
                  <c:v>2</c:v>
                </c:pt>
                <c:pt idx="1">
                  <c:v>1</c:v>
                </c:pt>
              </c:numCache>
            </c:numRef>
          </c:val>
          <c:extLst>
            <c:ext xmlns:c16="http://schemas.microsoft.com/office/drawing/2014/chart" uri="{C3380CC4-5D6E-409C-BE32-E72D297353CC}">
              <c16:uniqueId val="{00000002-C656-4E0A-8F35-4E3825273A66}"/>
            </c:ext>
          </c:extLst>
        </c:ser>
        <c:dLbls>
          <c:dLblPos val="outEnd"/>
          <c:showLegendKey val="0"/>
          <c:showVal val="1"/>
          <c:showCatName val="0"/>
          <c:showSerName val="0"/>
          <c:showPercent val="0"/>
          <c:showBubbleSize val="0"/>
        </c:dLbls>
        <c:gapWidth val="150"/>
        <c:overlap val="-27"/>
        <c:axId val="202203311"/>
        <c:axId val="122522095"/>
      </c:barChart>
      <c:catAx>
        <c:axId val="20220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522095"/>
        <c:crosses val="autoZero"/>
        <c:auto val="1"/>
        <c:lblAlgn val="ctr"/>
        <c:lblOffset val="100"/>
        <c:noMultiLvlLbl val="0"/>
      </c:catAx>
      <c:valAx>
        <c:axId val="122522095"/>
        <c:scaling>
          <c:orientation val="minMax"/>
        </c:scaling>
        <c:delete val="1"/>
        <c:axPos val="l"/>
        <c:numFmt formatCode="General" sourceLinked="1"/>
        <c:majorTickMark val="none"/>
        <c:minorTickMark val="none"/>
        <c:tickLblPos val="nextTo"/>
        <c:crossAx val="202203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31750</xdr:colOff>
      <xdr:row>1</xdr:row>
      <xdr:rowOff>114300</xdr:rowOff>
    </xdr:from>
    <xdr:to>
      <xdr:col>8</xdr:col>
      <xdr:colOff>488950</xdr:colOff>
      <xdr:row>16</xdr:row>
      <xdr:rowOff>165100</xdr:rowOff>
    </xdr:to>
    <xdr:sp macro="" textlink="">
      <xdr:nvSpPr>
        <xdr:cNvPr id="2" name="TextBox 1">
          <a:extLst>
            <a:ext uri="{FF2B5EF4-FFF2-40B4-BE49-F238E27FC236}">
              <a16:creationId xmlns:a16="http://schemas.microsoft.com/office/drawing/2014/main" id="{5DAEF872-06B6-00DC-54AF-90E6DFBF079F}"/>
            </a:ext>
          </a:extLst>
        </xdr:cNvPr>
        <xdr:cNvSpPr txBox="1"/>
      </xdr:nvSpPr>
      <xdr:spPr>
        <a:xfrm>
          <a:off x="31750" y="298450"/>
          <a:ext cx="5334000" cy="281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data is clean. 40 rows and 24 columns,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203200</xdr:colOff>
      <xdr:row>4</xdr:row>
      <xdr:rowOff>12700</xdr:rowOff>
    </xdr:from>
    <xdr:to>
      <xdr:col>10</xdr:col>
      <xdr:colOff>260350</xdr:colOff>
      <xdr:row>18</xdr:row>
      <xdr:rowOff>177800</xdr:rowOff>
    </xdr:to>
    <xdr:graphicFrame macro="">
      <xdr:nvGraphicFramePr>
        <xdr:cNvPr id="2" name="Chart 1">
          <a:extLst>
            <a:ext uri="{FF2B5EF4-FFF2-40B4-BE49-F238E27FC236}">
              <a16:creationId xmlns:a16="http://schemas.microsoft.com/office/drawing/2014/main" id="{A6D4BEFC-2BD4-0D54-4CF5-0D2A1D264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425450</xdr:colOff>
      <xdr:row>29</xdr:row>
      <xdr:rowOff>50800</xdr:rowOff>
    </xdr:from>
    <xdr:to>
      <xdr:col>4</xdr:col>
      <xdr:colOff>806450</xdr:colOff>
      <xdr:row>44</xdr:row>
      <xdr:rowOff>31750</xdr:rowOff>
    </xdr:to>
    <xdr:graphicFrame macro="">
      <xdr:nvGraphicFramePr>
        <xdr:cNvPr id="3" name="Chart 2">
          <a:extLst>
            <a:ext uri="{FF2B5EF4-FFF2-40B4-BE49-F238E27FC236}">
              <a16:creationId xmlns:a16="http://schemas.microsoft.com/office/drawing/2014/main" id="{1E07ADDA-77DE-7980-1D6C-B9BF1AAD7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254000</xdr:colOff>
      <xdr:row>47</xdr:row>
      <xdr:rowOff>63500</xdr:rowOff>
    </xdr:from>
    <xdr:to>
      <xdr:col>11</xdr:col>
      <xdr:colOff>19050</xdr:colOff>
      <xdr:row>62</xdr:row>
      <xdr:rowOff>44450</xdr:rowOff>
    </xdr:to>
    <xdr:graphicFrame macro="">
      <xdr:nvGraphicFramePr>
        <xdr:cNvPr id="4" name="Chart 3">
          <a:extLst>
            <a:ext uri="{FF2B5EF4-FFF2-40B4-BE49-F238E27FC236}">
              <a16:creationId xmlns:a16="http://schemas.microsoft.com/office/drawing/2014/main" id="{D1809103-9EF4-BE46-C6E3-59EB1B86E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74</xdr:row>
      <xdr:rowOff>152400</xdr:rowOff>
    </xdr:from>
    <xdr:to>
      <xdr:col>3</xdr:col>
      <xdr:colOff>393700</xdr:colOff>
      <xdr:row>89</xdr:row>
      <xdr:rowOff>133350</xdr:rowOff>
    </xdr:to>
    <xdr:graphicFrame macro="">
      <xdr:nvGraphicFramePr>
        <xdr:cNvPr id="5" name="Chart 4">
          <a:extLst>
            <a:ext uri="{FF2B5EF4-FFF2-40B4-BE49-F238E27FC236}">
              <a16:creationId xmlns:a16="http://schemas.microsoft.com/office/drawing/2014/main" id="{9DC459EA-90DF-B47F-A66E-5A5627AC6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736600</xdr:colOff>
      <xdr:row>103</xdr:row>
      <xdr:rowOff>6350</xdr:rowOff>
    </xdr:from>
    <xdr:to>
      <xdr:col>3</xdr:col>
      <xdr:colOff>31750</xdr:colOff>
      <xdr:row>113</xdr:row>
      <xdr:rowOff>158750</xdr:rowOff>
    </xdr:to>
    <xdr:graphicFrame macro="">
      <xdr:nvGraphicFramePr>
        <xdr:cNvPr id="6" name="Chart 5">
          <a:extLst>
            <a:ext uri="{FF2B5EF4-FFF2-40B4-BE49-F238E27FC236}">
              <a16:creationId xmlns:a16="http://schemas.microsoft.com/office/drawing/2014/main" id="{2D3B9E58-3DCA-931C-572C-62801068F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273050</xdr:colOff>
      <xdr:row>31</xdr:row>
      <xdr:rowOff>114299</xdr:rowOff>
    </xdr:to>
    <xdr:pic>
      <xdr:nvPicPr>
        <xdr:cNvPr id="3" name="Picture 2">
          <a:extLst>
            <a:ext uri="{FF2B5EF4-FFF2-40B4-BE49-F238E27FC236}">
              <a16:creationId xmlns:a16="http://schemas.microsoft.com/office/drawing/2014/main" id="{C5069800-C5C0-26CD-8AE7-5DD83C84D6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807450" cy="5822949"/>
        </a:xfrm>
        <a:prstGeom prst="rect">
          <a:avLst/>
        </a:prstGeom>
      </xdr:spPr>
    </xdr:pic>
    <xdr:clientData/>
  </xdr:twoCellAnchor>
  <xdr:twoCellAnchor>
    <xdr:from>
      <xdr:col>14</xdr:col>
      <xdr:colOff>317500</xdr:colOff>
      <xdr:row>0</xdr:row>
      <xdr:rowOff>19050</xdr:rowOff>
    </xdr:from>
    <xdr:to>
      <xdr:col>19</xdr:col>
      <xdr:colOff>330200</xdr:colOff>
      <xdr:row>31</xdr:row>
      <xdr:rowOff>101600</xdr:rowOff>
    </xdr:to>
    <xdr:sp macro="" textlink="">
      <xdr:nvSpPr>
        <xdr:cNvPr id="4" name="TextBox 3">
          <a:extLst>
            <a:ext uri="{FF2B5EF4-FFF2-40B4-BE49-F238E27FC236}">
              <a16:creationId xmlns:a16="http://schemas.microsoft.com/office/drawing/2014/main" id="{B27A0ACD-7D61-43A0-3B0E-A53E0D9D5104}"/>
            </a:ext>
          </a:extLst>
        </xdr:cNvPr>
        <xdr:cNvSpPr txBox="1"/>
      </xdr:nvSpPr>
      <xdr:spPr>
        <a:xfrm>
          <a:off x="8851900" y="19050"/>
          <a:ext cx="3060700" cy="579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u="none" strike="noStrike">
              <a:solidFill>
                <a:schemeClr val="dk1"/>
              </a:solidFill>
              <a:effectLst/>
              <a:latin typeface="Segoe UI" panose="020B0502040204020203" pitchFamily="34" charset="0"/>
              <a:ea typeface="+mn-ea"/>
              <a:cs typeface="Segoe UI" panose="020B0502040204020203" pitchFamily="34" charset="0"/>
            </a:rPr>
            <a:t>Have you ever wondered where everyday people actually prefer to put their hard-earned money when they want it to grow?</a:t>
          </a:r>
        </a:p>
        <a:p>
          <a:endParaRPr lang="en-US" sz="1800" b="0" u="none" strike="noStrike">
            <a:solidFill>
              <a:schemeClr val="dk1"/>
            </a:solidFill>
            <a:effectLst/>
            <a:latin typeface="Segoe UI" panose="020B0502040204020203" pitchFamily="34" charset="0"/>
            <a:ea typeface="+mn-ea"/>
            <a:cs typeface="Segoe UI" panose="020B0502040204020203" pitchFamily="34" charset="0"/>
          </a:endParaRPr>
        </a:p>
        <a:p>
          <a:r>
            <a:rPr lang="en-US" sz="1800" b="0" u="none" strike="noStrike">
              <a:solidFill>
                <a:schemeClr val="dk1"/>
              </a:solidFill>
              <a:effectLst/>
              <a:latin typeface="Segoe UI" panose="020B0502040204020203" pitchFamily="34" charset="0"/>
              <a:ea typeface="+mn-ea"/>
              <a:cs typeface="Segoe UI" panose="020B0502040204020203" pitchFamily="34" charset="0"/>
            </a:rPr>
            <a:t>Quantum</a:t>
          </a:r>
          <a:r>
            <a:rPr lang="en-US" sz="1800" b="0" u="none" strike="noStrike" baseline="0">
              <a:solidFill>
                <a:schemeClr val="dk1"/>
              </a:solidFill>
              <a:effectLst/>
              <a:latin typeface="Segoe UI" panose="020B0502040204020203" pitchFamily="34" charset="0"/>
              <a:ea typeface="+mn-ea"/>
              <a:cs typeface="Segoe UI" panose="020B0502040204020203" pitchFamily="34" charset="0"/>
            </a:rPr>
            <a:t> Analytics said I should find out</a:t>
          </a:r>
          <a:r>
            <a:rPr lang="en-US" sz="1800" b="0" u="none" strike="noStrike">
              <a:solidFill>
                <a:schemeClr val="dk1"/>
              </a:solidFill>
              <a:effectLst/>
              <a:latin typeface="Segoe UI" panose="020B0502040204020203" pitchFamily="34" charset="0"/>
              <a:ea typeface="+mn-ea"/>
              <a:cs typeface="Segoe UI" panose="020B0502040204020203" pitchFamily="34" charset="0"/>
            </a:rPr>
            <a:t>, so I was</a:t>
          </a:r>
          <a:r>
            <a:rPr lang="en-US" sz="1800" b="0" u="none" strike="noStrike" baseline="0">
              <a:solidFill>
                <a:schemeClr val="dk1"/>
              </a:solidFill>
              <a:effectLst/>
              <a:latin typeface="Segoe UI" panose="020B0502040204020203" pitchFamily="34" charset="0"/>
              <a:ea typeface="+mn-ea"/>
              <a:cs typeface="Segoe UI" panose="020B0502040204020203" pitchFamily="34" charset="0"/>
            </a:rPr>
            <a:t> given</a:t>
          </a:r>
          <a:r>
            <a:rPr lang="en-US" sz="1800" b="0" u="none" strike="noStrike">
              <a:solidFill>
                <a:schemeClr val="dk1"/>
              </a:solidFill>
              <a:effectLst/>
              <a:latin typeface="Segoe UI" panose="020B0502040204020203" pitchFamily="34" charset="0"/>
              <a:ea typeface="+mn-ea"/>
              <a:cs typeface="Segoe UI" panose="020B0502040204020203" pitchFamily="34" charset="0"/>
            </a:rPr>
            <a:t> a clean dataset of </a:t>
          </a:r>
          <a:r>
            <a:rPr lang="en-US" sz="1800" b="1" u="none" strike="noStrike">
              <a:solidFill>
                <a:schemeClr val="dk1"/>
              </a:solidFill>
              <a:effectLst/>
              <a:latin typeface="Segoe UI" panose="020B0502040204020203" pitchFamily="34" charset="0"/>
              <a:ea typeface="+mn-ea"/>
              <a:cs typeface="Segoe UI" panose="020B0502040204020203" pitchFamily="34" charset="0"/>
            </a:rPr>
            <a:t>40 total investors</a:t>
          </a:r>
          <a:r>
            <a:rPr lang="en-US" sz="1800" b="0" u="none" strike="noStrike">
              <a:solidFill>
                <a:schemeClr val="dk1"/>
              </a:solidFill>
              <a:effectLst/>
              <a:latin typeface="Segoe UI" panose="020B0502040204020203" pitchFamily="34" charset="0"/>
              <a:ea typeface="+mn-ea"/>
              <a:cs typeface="Segoe UI" panose="020B0502040204020203" pitchFamily="34" charset="0"/>
            </a:rPr>
            <a:t> with</a:t>
          </a:r>
          <a:r>
            <a:rPr lang="en-US" sz="1800" b="0" u="none" strike="noStrike" baseline="0">
              <a:solidFill>
                <a:schemeClr val="dk1"/>
              </a:solidFill>
              <a:effectLst/>
              <a:latin typeface="Segoe UI" panose="020B0502040204020203" pitchFamily="34" charset="0"/>
              <a:ea typeface="+mn-ea"/>
              <a:cs typeface="Segoe UI" panose="020B0502040204020203" pitchFamily="34" charset="0"/>
            </a:rPr>
            <a:t> a task to</a:t>
          </a:r>
          <a:r>
            <a:rPr lang="en-US" sz="1800" b="0" u="none" strike="noStrike">
              <a:solidFill>
                <a:schemeClr val="dk1"/>
              </a:solidFill>
              <a:effectLst/>
              <a:latin typeface="Segoe UI" panose="020B0502040204020203" pitchFamily="34" charset="0"/>
              <a:ea typeface="+mn-ea"/>
              <a:cs typeface="Segoe UI" panose="020B0502040204020203" pitchFamily="34" charset="0"/>
            </a:rPr>
            <a:t> build an interactive dashboard to track their exact habits across 24 different categories.</a:t>
          </a:r>
          <a:br>
            <a:rPr lang="en-US" sz="1800" b="0" u="none" strike="noStrike">
              <a:solidFill>
                <a:schemeClr val="dk1"/>
              </a:solidFill>
              <a:effectLst/>
              <a:latin typeface="Segoe UI" panose="020B0502040204020203" pitchFamily="34" charset="0"/>
              <a:ea typeface="+mn-ea"/>
              <a:cs typeface="Segoe UI" panose="020B0502040204020203" pitchFamily="34" charset="0"/>
            </a:rPr>
          </a:br>
          <a:endParaRPr lang="en-US" sz="1800" b="0" u="none" strike="noStrike">
            <a:solidFill>
              <a:schemeClr val="dk1"/>
            </a:solidFill>
            <a:effectLst/>
            <a:latin typeface="Segoe UI" panose="020B0502040204020203" pitchFamily="34" charset="0"/>
            <a:ea typeface="+mn-ea"/>
            <a:cs typeface="Segoe UI" panose="020B0502040204020203" pitchFamily="34" charset="0"/>
          </a:endParaRPr>
        </a:p>
        <a:p>
          <a:r>
            <a:rPr lang="en-US" sz="1800" b="0" u="none" strike="noStrike">
              <a:solidFill>
                <a:schemeClr val="dk1"/>
              </a:solidFill>
              <a:effectLst/>
              <a:latin typeface="Segoe UI" panose="020B0502040204020203" pitchFamily="34" charset="0"/>
              <a:ea typeface="+mn-ea"/>
              <a:cs typeface="Segoe UI" panose="020B0502040204020203" pitchFamily="34" charset="0"/>
            </a:rPr>
            <a:t>Let's look into it.</a:t>
          </a:r>
        </a:p>
        <a:p>
          <a:endParaRPr lang="en-US" sz="1800">
            <a:latin typeface="Segoe UI" panose="020B0502040204020203" pitchFamily="34" charset="0"/>
            <a:cs typeface="Segoe UI" panose="020B05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31750</xdr:colOff>
      <xdr:row>0</xdr:row>
      <xdr:rowOff>63500</xdr:rowOff>
    </xdr:from>
    <xdr:to>
      <xdr:col>19</xdr:col>
      <xdr:colOff>355600</xdr:colOff>
      <xdr:row>2</xdr:row>
      <xdr:rowOff>165100</xdr:rowOff>
    </xdr:to>
    <xdr:sp macro="" textlink="">
      <xdr:nvSpPr>
        <xdr:cNvPr id="2" name="TextBox 1">
          <a:extLst>
            <a:ext uri="{FF2B5EF4-FFF2-40B4-BE49-F238E27FC236}">
              <a16:creationId xmlns:a16="http://schemas.microsoft.com/office/drawing/2014/main" id="{39AFB145-8C91-DF07-3622-88D15050803D}"/>
            </a:ext>
          </a:extLst>
        </xdr:cNvPr>
        <xdr:cNvSpPr txBox="1"/>
      </xdr:nvSpPr>
      <xdr:spPr>
        <a:xfrm>
          <a:off x="31750" y="63500"/>
          <a:ext cx="1190625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Segoe UI" panose="020B0502040204020203" pitchFamily="34" charset="0"/>
              <a:cs typeface="Segoe UI" panose="020B0502040204020203" pitchFamily="34" charset="0"/>
            </a:rPr>
            <a:t>INVESTMENT PREFERENCE ANALYSIS BY MOWANINUOLA UMARUDEEN</a:t>
          </a:r>
        </a:p>
      </xdr:txBody>
    </xdr:sp>
    <xdr:clientData/>
  </xdr:twoCellAnchor>
  <xdr:twoCellAnchor>
    <xdr:from>
      <xdr:col>0</xdr:col>
      <xdr:colOff>31750</xdr:colOff>
      <xdr:row>3</xdr:row>
      <xdr:rowOff>44450</xdr:rowOff>
    </xdr:from>
    <xdr:to>
      <xdr:col>1</xdr:col>
      <xdr:colOff>393700</xdr:colOff>
      <xdr:row>6</xdr:row>
      <xdr:rowOff>171450</xdr:rowOff>
    </xdr:to>
    <xdr:sp macro="" textlink="">
      <xdr:nvSpPr>
        <xdr:cNvPr id="3" name="TextBox 2">
          <a:extLst>
            <a:ext uri="{FF2B5EF4-FFF2-40B4-BE49-F238E27FC236}">
              <a16:creationId xmlns:a16="http://schemas.microsoft.com/office/drawing/2014/main" id="{14538859-4259-BAF5-8C14-176D39F935DA}"/>
            </a:ext>
          </a:extLst>
        </xdr:cNvPr>
        <xdr:cNvSpPr txBox="1"/>
      </xdr:nvSpPr>
      <xdr:spPr>
        <a:xfrm>
          <a:off x="31750" y="596900"/>
          <a:ext cx="971550" cy="67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t>Total Investors</a:t>
          </a:r>
        </a:p>
        <a:p>
          <a:pPr algn="ctr"/>
          <a:r>
            <a:rPr lang="en-US" sz="1050" b="1"/>
            <a:t>40</a:t>
          </a:r>
        </a:p>
      </xdr:txBody>
    </xdr:sp>
    <xdr:clientData/>
  </xdr:twoCellAnchor>
  <xdr:twoCellAnchor>
    <xdr:from>
      <xdr:col>1</xdr:col>
      <xdr:colOff>457200</xdr:colOff>
      <xdr:row>3</xdr:row>
      <xdr:rowOff>50800</xdr:rowOff>
    </xdr:from>
    <xdr:to>
      <xdr:col>4</xdr:col>
      <xdr:colOff>0</xdr:colOff>
      <xdr:row>6</xdr:row>
      <xdr:rowOff>177800</xdr:rowOff>
    </xdr:to>
    <xdr:sp macro="" textlink="">
      <xdr:nvSpPr>
        <xdr:cNvPr id="6" name="TextBox 5">
          <a:extLst>
            <a:ext uri="{FF2B5EF4-FFF2-40B4-BE49-F238E27FC236}">
              <a16:creationId xmlns:a16="http://schemas.microsoft.com/office/drawing/2014/main" id="{03BA6AE0-3402-47E3-936F-C0605AA00A62}"/>
            </a:ext>
          </a:extLst>
        </xdr:cNvPr>
        <xdr:cNvSpPr txBox="1"/>
      </xdr:nvSpPr>
      <xdr:spPr>
        <a:xfrm>
          <a:off x="1066800" y="603250"/>
          <a:ext cx="1371600" cy="67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t>Gender Distribution</a:t>
          </a:r>
          <a:br>
            <a:rPr lang="en-US" sz="1050"/>
          </a:br>
          <a:r>
            <a:rPr lang="en-US" sz="1050" b="1" u="none" strike="noStrike">
              <a:solidFill>
                <a:schemeClr val="dk1"/>
              </a:solidFill>
              <a:effectLst/>
              <a:latin typeface="+mn-lt"/>
              <a:ea typeface="+mn-ea"/>
              <a:cs typeface="+mn-cs"/>
            </a:rPr>
            <a:t>Male: 25 | Female: 15</a:t>
          </a:r>
          <a:endParaRPr lang="en-US" sz="1050"/>
        </a:p>
      </xdr:txBody>
    </xdr:sp>
    <xdr:clientData/>
  </xdr:twoCellAnchor>
  <xdr:twoCellAnchor>
    <xdr:from>
      <xdr:col>16</xdr:col>
      <xdr:colOff>381000</xdr:colOff>
      <xdr:row>3</xdr:row>
      <xdr:rowOff>44450</xdr:rowOff>
    </xdr:from>
    <xdr:to>
      <xdr:col>19</xdr:col>
      <xdr:colOff>361950</xdr:colOff>
      <xdr:row>7</xdr:row>
      <xdr:rowOff>0</xdr:rowOff>
    </xdr:to>
    <xdr:sp macro="" textlink="">
      <xdr:nvSpPr>
        <xdr:cNvPr id="7" name="TextBox 6">
          <a:extLst>
            <a:ext uri="{FF2B5EF4-FFF2-40B4-BE49-F238E27FC236}">
              <a16:creationId xmlns:a16="http://schemas.microsoft.com/office/drawing/2014/main" id="{52A79B25-08AB-4CA6-A341-552A370C6716}"/>
            </a:ext>
          </a:extLst>
        </xdr:cNvPr>
        <xdr:cNvSpPr txBox="1"/>
      </xdr:nvSpPr>
      <xdr:spPr>
        <a:xfrm>
          <a:off x="10134600" y="596900"/>
          <a:ext cx="1809750" cy="692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050" b="0" u="none" strike="noStrike">
              <a:solidFill>
                <a:schemeClr val="dk1"/>
              </a:solidFill>
              <a:effectLst/>
              <a:latin typeface="+mn-lt"/>
              <a:ea typeface="+mn-ea"/>
              <a:cs typeface="+mn-cs"/>
            </a:rPr>
            <a:t>Major Investment Duration:</a:t>
          </a:r>
        </a:p>
        <a:p>
          <a:pPr lvl="0" algn="ctr"/>
          <a:r>
            <a:rPr lang="en-US" sz="1050" b="1" u="none" strike="noStrike">
              <a:solidFill>
                <a:schemeClr val="dk1"/>
              </a:solidFill>
              <a:effectLst/>
              <a:latin typeface="+mn-lt"/>
              <a:ea typeface="+mn-ea"/>
              <a:cs typeface="+mn-cs"/>
            </a:rPr>
            <a:t>3–5 Years</a:t>
          </a:r>
        </a:p>
        <a:p>
          <a:pPr lvl="0" algn="ctr"/>
          <a:r>
            <a:rPr lang="en-US" sz="1050" i="1"/>
            <a:t>Preferred by 48% of investors</a:t>
          </a:r>
          <a:endParaRPr lang="en-US" sz="1050" b="1" i="1" u="none" strike="noStrike">
            <a:solidFill>
              <a:schemeClr val="dk1"/>
            </a:solidFill>
            <a:effectLst/>
            <a:latin typeface="+mn-lt"/>
            <a:ea typeface="+mn-ea"/>
            <a:cs typeface="+mn-cs"/>
          </a:endParaRPr>
        </a:p>
      </xdr:txBody>
    </xdr:sp>
    <xdr:clientData/>
  </xdr:twoCellAnchor>
  <xdr:twoCellAnchor>
    <xdr:from>
      <xdr:col>4</xdr:col>
      <xdr:colOff>50800</xdr:colOff>
      <xdr:row>3</xdr:row>
      <xdr:rowOff>50800</xdr:rowOff>
    </xdr:from>
    <xdr:to>
      <xdr:col>7</xdr:col>
      <xdr:colOff>76200</xdr:colOff>
      <xdr:row>7</xdr:row>
      <xdr:rowOff>0</xdr:rowOff>
    </xdr:to>
    <xdr:sp macro="" textlink="">
      <xdr:nvSpPr>
        <xdr:cNvPr id="8" name="TextBox 7">
          <a:extLst>
            <a:ext uri="{FF2B5EF4-FFF2-40B4-BE49-F238E27FC236}">
              <a16:creationId xmlns:a16="http://schemas.microsoft.com/office/drawing/2014/main" id="{03A1AA51-3B67-49A5-A7D7-AC9C20802A24}"/>
            </a:ext>
          </a:extLst>
        </xdr:cNvPr>
        <xdr:cNvSpPr txBox="1"/>
      </xdr:nvSpPr>
      <xdr:spPr>
        <a:xfrm>
          <a:off x="2489200" y="603250"/>
          <a:ext cx="18542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aseline="0"/>
            <a:t>Primary Investor Group: </a:t>
          </a:r>
        </a:p>
        <a:p>
          <a:pPr algn="ctr"/>
          <a:r>
            <a:rPr lang="en-US" sz="900" b="1"/>
            <a:t>Established Adulthood (ages 26–30)</a:t>
          </a:r>
        </a:p>
        <a:p>
          <a:pPr algn="ctr"/>
          <a:r>
            <a:rPr lang="en-US" sz="900" i="1"/>
            <a:t>53% of total investors</a:t>
          </a:r>
        </a:p>
      </xdr:txBody>
    </xdr:sp>
    <xdr:clientData/>
  </xdr:twoCellAnchor>
  <xdr:twoCellAnchor>
    <xdr:from>
      <xdr:col>13</xdr:col>
      <xdr:colOff>387350</xdr:colOff>
      <xdr:row>3</xdr:row>
      <xdr:rowOff>44450</xdr:rowOff>
    </xdr:from>
    <xdr:to>
      <xdr:col>16</xdr:col>
      <xdr:colOff>311150</xdr:colOff>
      <xdr:row>6</xdr:row>
      <xdr:rowOff>177800</xdr:rowOff>
    </xdr:to>
    <xdr:sp macro="" textlink="">
      <xdr:nvSpPr>
        <xdr:cNvPr id="9" name="TextBox 8">
          <a:extLst>
            <a:ext uri="{FF2B5EF4-FFF2-40B4-BE49-F238E27FC236}">
              <a16:creationId xmlns:a16="http://schemas.microsoft.com/office/drawing/2014/main" id="{B48FD9B0-7093-4CD7-89B2-EFF3887A30BF}"/>
            </a:ext>
          </a:extLst>
        </xdr:cNvPr>
        <xdr:cNvSpPr txBox="1"/>
      </xdr:nvSpPr>
      <xdr:spPr>
        <a:xfrm>
          <a:off x="8312150" y="596900"/>
          <a:ext cx="17526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solidFill>
                <a:schemeClr val="tx1"/>
              </a:solidFill>
            </a:rPr>
            <a:t>Primary</a:t>
          </a:r>
          <a:r>
            <a:rPr lang="en-US" sz="1050" baseline="0">
              <a:solidFill>
                <a:schemeClr val="tx1"/>
              </a:solidFill>
            </a:rPr>
            <a:t> Savings Objectives: </a:t>
          </a:r>
          <a:r>
            <a:rPr lang="en-US" sz="1050" b="1" baseline="0">
              <a:solidFill>
                <a:schemeClr val="tx1"/>
              </a:solidFill>
            </a:rPr>
            <a:t>Retirement Plans</a:t>
          </a:r>
        </a:p>
        <a:p>
          <a:pPr algn="ctr"/>
          <a:r>
            <a:rPr lang="en-US" sz="1050" i="1">
              <a:solidFill>
                <a:schemeClr val="tx1"/>
              </a:solidFill>
            </a:rPr>
            <a:t>Chosen by 58% of investors</a:t>
          </a:r>
          <a:endParaRPr lang="en-US" sz="1050" b="1" i="1">
            <a:solidFill>
              <a:schemeClr val="tx1"/>
            </a:solidFill>
          </a:endParaRPr>
        </a:p>
      </xdr:txBody>
    </xdr:sp>
    <xdr:clientData/>
  </xdr:twoCellAnchor>
  <xdr:twoCellAnchor>
    <xdr:from>
      <xdr:col>7</xdr:col>
      <xdr:colOff>127000</xdr:colOff>
      <xdr:row>3</xdr:row>
      <xdr:rowOff>50800</xdr:rowOff>
    </xdr:from>
    <xdr:to>
      <xdr:col>10</xdr:col>
      <xdr:colOff>190500</xdr:colOff>
      <xdr:row>7</xdr:row>
      <xdr:rowOff>0</xdr:rowOff>
    </xdr:to>
    <xdr:sp macro="" textlink="">
      <xdr:nvSpPr>
        <xdr:cNvPr id="10" name="TextBox 9">
          <a:extLst>
            <a:ext uri="{FF2B5EF4-FFF2-40B4-BE49-F238E27FC236}">
              <a16:creationId xmlns:a16="http://schemas.microsoft.com/office/drawing/2014/main" id="{E0F14649-42F9-4969-95BB-049457054110}"/>
            </a:ext>
          </a:extLst>
        </xdr:cNvPr>
        <xdr:cNvSpPr txBox="1"/>
      </xdr:nvSpPr>
      <xdr:spPr>
        <a:xfrm>
          <a:off x="4394200" y="603250"/>
          <a:ext cx="18923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aseline="0">
              <a:solidFill>
                <a:schemeClr val="dk1"/>
              </a:solidFill>
              <a:latin typeface="+mn-lt"/>
              <a:ea typeface="+mn-ea"/>
              <a:cs typeface="+mn-cs"/>
            </a:rPr>
            <a:t>Primary Investment Preference:</a:t>
          </a:r>
        </a:p>
        <a:p>
          <a:pPr marL="0" indent="0" algn="ctr"/>
          <a:r>
            <a:rPr lang="en-US" sz="1000" baseline="0">
              <a:solidFill>
                <a:schemeClr val="dk1"/>
              </a:solidFill>
              <a:latin typeface="+mn-lt"/>
              <a:ea typeface="+mn-ea"/>
              <a:cs typeface="+mn-cs"/>
            </a:rPr>
            <a:t> </a:t>
          </a:r>
          <a:r>
            <a:rPr lang="en-US" sz="1000" b="1" baseline="0">
              <a:solidFill>
                <a:schemeClr val="dk1"/>
              </a:solidFill>
              <a:latin typeface="+mn-lt"/>
              <a:ea typeface="+mn-ea"/>
              <a:cs typeface="+mn-cs"/>
            </a:rPr>
            <a:t>Mutual Funds</a:t>
          </a:r>
        </a:p>
        <a:p>
          <a:pPr marL="0" indent="0" algn="ctr"/>
          <a:r>
            <a:rPr lang="en-US" sz="1000" i="1" baseline="0">
              <a:solidFill>
                <a:schemeClr val="dk1"/>
              </a:solidFill>
              <a:latin typeface="+mn-lt"/>
              <a:ea typeface="+mn-ea"/>
              <a:cs typeface="+mn-cs"/>
            </a:rPr>
            <a:t>Selected by 45% of investors</a:t>
          </a:r>
        </a:p>
      </xdr:txBody>
    </xdr:sp>
    <xdr:clientData/>
  </xdr:twoCellAnchor>
  <xdr:twoCellAnchor>
    <xdr:from>
      <xdr:col>10</xdr:col>
      <xdr:colOff>247650</xdr:colOff>
      <xdr:row>3</xdr:row>
      <xdr:rowOff>50800</xdr:rowOff>
    </xdr:from>
    <xdr:to>
      <xdr:col>13</xdr:col>
      <xdr:colOff>317500</xdr:colOff>
      <xdr:row>6</xdr:row>
      <xdr:rowOff>171450</xdr:rowOff>
    </xdr:to>
    <xdr:sp macro="" textlink="">
      <xdr:nvSpPr>
        <xdr:cNvPr id="11" name="TextBox 10">
          <a:extLst>
            <a:ext uri="{FF2B5EF4-FFF2-40B4-BE49-F238E27FC236}">
              <a16:creationId xmlns:a16="http://schemas.microsoft.com/office/drawing/2014/main" id="{8D839B66-A2FB-466C-BAAC-08FB86A766FD}"/>
            </a:ext>
          </a:extLst>
        </xdr:cNvPr>
        <xdr:cNvSpPr txBox="1"/>
      </xdr:nvSpPr>
      <xdr:spPr>
        <a:xfrm>
          <a:off x="6343650" y="603250"/>
          <a:ext cx="189865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Primary</a:t>
          </a:r>
          <a:r>
            <a:rPr lang="en-US" sz="1000" baseline="0"/>
            <a:t> Investment Influence:</a:t>
          </a:r>
          <a:r>
            <a:rPr lang="en-US" sz="1000" b="1" baseline="0"/>
            <a:t>Returns</a:t>
          </a:r>
        </a:p>
        <a:p>
          <a:pPr algn="ctr"/>
          <a:r>
            <a:rPr lang="en-US" sz="1000" i="1"/>
            <a:t>Driven by 65% of investors</a:t>
          </a:r>
          <a:endParaRPr lang="en-US" sz="1000" b="1" i="1" baseline="0"/>
        </a:p>
        <a:p>
          <a:pPr algn="ctr"/>
          <a:endParaRPr lang="en-US" sz="900" b="1"/>
        </a:p>
      </xdr:txBody>
    </xdr:sp>
    <xdr:clientData/>
  </xdr:twoCellAnchor>
  <xdr:twoCellAnchor>
    <xdr:from>
      <xdr:col>0</xdr:col>
      <xdr:colOff>38100</xdr:colOff>
      <xdr:row>7</xdr:row>
      <xdr:rowOff>44450</xdr:rowOff>
    </xdr:from>
    <xdr:to>
      <xdr:col>4</xdr:col>
      <xdr:colOff>514350</xdr:colOff>
      <xdr:row>19</xdr:row>
      <xdr:rowOff>139700</xdr:rowOff>
    </xdr:to>
    <xdr:graphicFrame macro="">
      <xdr:nvGraphicFramePr>
        <xdr:cNvPr id="12" name="Chart 11">
          <a:extLst>
            <a:ext uri="{FF2B5EF4-FFF2-40B4-BE49-F238E27FC236}">
              <a16:creationId xmlns:a16="http://schemas.microsoft.com/office/drawing/2014/main" id="{0C5FB458-9E08-4EAC-86CD-166A93D54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565150</xdr:colOff>
      <xdr:row>7</xdr:row>
      <xdr:rowOff>50800</xdr:rowOff>
    </xdr:from>
    <xdr:to>
      <xdr:col>11</xdr:col>
      <xdr:colOff>50800</xdr:colOff>
      <xdr:row>19</xdr:row>
      <xdr:rowOff>146050</xdr:rowOff>
    </xdr:to>
    <xdr:graphicFrame macro="">
      <xdr:nvGraphicFramePr>
        <xdr:cNvPr id="13" name="Chart 12">
          <a:extLst>
            <a:ext uri="{FF2B5EF4-FFF2-40B4-BE49-F238E27FC236}">
              <a16:creationId xmlns:a16="http://schemas.microsoft.com/office/drawing/2014/main" id="{100236E2-8318-4212-A4A6-408D30511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114300</xdr:colOff>
      <xdr:row>7</xdr:row>
      <xdr:rowOff>44450</xdr:rowOff>
    </xdr:from>
    <xdr:to>
      <xdr:col>16</xdr:col>
      <xdr:colOff>241300</xdr:colOff>
      <xdr:row>19</xdr:row>
      <xdr:rowOff>146050</xdr:rowOff>
    </xdr:to>
    <xdr:graphicFrame macro="">
      <xdr:nvGraphicFramePr>
        <xdr:cNvPr id="14" name="Chart 13">
          <a:extLst>
            <a:ext uri="{FF2B5EF4-FFF2-40B4-BE49-F238E27FC236}">
              <a16:creationId xmlns:a16="http://schemas.microsoft.com/office/drawing/2014/main" id="{F8EDA0B1-1707-4099-AFD7-A45BEBD0B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xdr:colOff>
      <xdr:row>20</xdr:row>
      <xdr:rowOff>6350</xdr:rowOff>
    </xdr:from>
    <xdr:to>
      <xdr:col>7</xdr:col>
      <xdr:colOff>419100</xdr:colOff>
      <xdr:row>32</xdr:row>
      <xdr:rowOff>0</xdr:rowOff>
    </xdr:to>
    <xdr:graphicFrame macro="">
      <xdr:nvGraphicFramePr>
        <xdr:cNvPr id="15" name="Chart 14">
          <a:extLst>
            <a:ext uri="{FF2B5EF4-FFF2-40B4-BE49-F238E27FC236}">
              <a16:creationId xmlns:a16="http://schemas.microsoft.com/office/drawing/2014/main" id="{3A442782-E3E7-4CA1-B1F0-7A8D46C88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495300</xdr:colOff>
      <xdr:row>20</xdr:row>
      <xdr:rowOff>12700</xdr:rowOff>
    </xdr:from>
    <xdr:to>
      <xdr:col>16</xdr:col>
      <xdr:colOff>241300</xdr:colOff>
      <xdr:row>31</xdr:row>
      <xdr:rowOff>171450</xdr:rowOff>
    </xdr:to>
    <xdr:graphicFrame macro="">
      <xdr:nvGraphicFramePr>
        <xdr:cNvPr id="16" name="Chart 15">
          <a:extLst>
            <a:ext uri="{FF2B5EF4-FFF2-40B4-BE49-F238E27FC236}">
              <a16:creationId xmlns:a16="http://schemas.microsoft.com/office/drawing/2014/main" id="{B64BA0E6-9F7C-4A88-BBAA-4D99BB1DE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292100</xdr:colOff>
      <xdr:row>7</xdr:row>
      <xdr:rowOff>44450</xdr:rowOff>
    </xdr:from>
    <xdr:to>
      <xdr:col>19</xdr:col>
      <xdr:colOff>381000</xdr:colOff>
      <xdr:row>12</xdr:row>
      <xdr:rowOff>69850</xdr:rowOff>
    </xdr:to>
    <mc:AlternateContent xmlns:mc="http://schemas.openxmlformats.org/markup-compatibility/2006">
      <mc:Choice xmlns:a14="http://schemas.microsoft.com/office/drawing/2010/main" Requires="a14">
        <xdr:graphicFrame macro="">
          <xdr:nvGraphicFramePr>
            <xdr:cNvPr id="17" name="gender">
              <a:extLst>
                <a:ext uri="{FF2B5EF4-FFF2-40B4-BE49-F238E27FC236}">
                  <a16:creationId xmlns:a16="http://schemas.microsoft.com/office/drawing/2014/main" id="{22D80C57-561C-4BA3-5C68-BCA20978E8D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045700" y="1333500"/>
              <a:ext cx="191770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304800</xdr:colOff>
      <xdr:row>12</xdr:row>
      <xdr:rowOff>101600</xdr:rowOff>
    </xdr:from>
    <xdr:to>
      <xdr:col>19</xdr:col>
      <xdr:colOff>387350</xdr:colOff>
      <xdr:row>19</xdr:row>
      <xdr:rowOff>12700</xdr:rowOff>
    </xdr:to>
    <mc:AlternateContent xmlns:mc="http://schemas.openxmlformats.org/markup-compatibility/2006">
      <mc:Choice xmlns:a14="http://schemas.microsoft.com/office/drawing/2010/main" Requires="a14">
        <xdr:graphicFrame macro="">
          <xdr:nvGraphicFramePr>
            <xdr:cNvPr id="18" name="Age Group">
              <a:extLst>
                <a:ext uri="{FF2B5EF4-FFF2-40B4-BE49-F238E27FC236}">
                  <a16:creationId xmlns:a16="http://schemas.microsoft.com/office/drawing/2014/main" id="{35915545-D716-1E37-7CEF-1C13EA3E200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0058400" y="2311400"/>
              <a:ext cx="191135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292100</xdr:colOff>
      <xdr:row>19</xdr:row>
      <xdr:rowOff>31750</xdr:rowOff>
    </xdr:from>
    <xdr:to>
      <xdr:col>19</xdr:col>
      <xdr:colOff>387350</xdr:colOff>
      <xdr:row>25</xdr:row>
      <xdr:rowOff>158750</xdr:rowOff>
    </xdr:to>
    <mc:AlternateContent xmlns:mc="http://schemas.openxmlformats.org/markup-compatibility/2006">
      <mc:Choice xmlns:a14="http://schemas.microsoft.com/office/drawing/2010/main" Requires="a14">
        <xdr:graphicFrame macro="">
          <xdr:nvGraphicFramePr>
            <xdr:cNvPr id="20" name="Savings Obectives">
              <a:extLst>
                <a:ext uri="{FF2B5EF4-FFF2-40B4-BE49-F238E27FC236}">
                  <a16:creationId xmlns:a16="http://schemas.microsoft.com/office/drawing/2014/main" id="{1DF14D66-DCAD-670D-CDEC-18D659A9E3C0}"/>
                </a:ext>
              </a:extLst>
            </xdr:cNvPr>
            <xdr:cNvGraphicFramePr/>
          </xdr:nvGraphicFramePr>
          <xdr:xfrm>
            <a:off x="0" y="0"/>
            <a:ext cx="0" cy="0"/>
          </xdr:xfrm>
          <a:graphic>
            <a:graphicData uri="http://schemas.microsoft.com/office/drawing/2010/slicer">
              <sle:slicer xmlns:sle="http://schemas.microsoft.com/office/drawing/2010/slicer" name="Savings Obectives"/>
            </a:graphicData>
          </a:graphic>
        </xdr:graphicFrame>
      </mc:Choice>
      <mc:Fallback>
        <xdr:sp macro="" textlink="">
          <xdr:nvSpPr>
            <xdr:cNvPr id="0" name=""/>
            <xdr:cNvSpPr>
              <a:spLocks noTextEdit="1"/>
            </xdr:cNvSpPr>
          </xdr:nvSpPr>
          <xdr:spPr>
            <a:xfrm>
              <a:off x="10045700" y="3530600"/>
              <a:ext cx="1924050" cy="1231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304800</xdr:colOff>
      <xdr:row>26</xdr:row>
      <xdr:rowOff>6350</xdr:rowOff>
    </xdr:from>
    <xdr:to>
      <xdr:col>19</xdr:col>
      <xdr:colOff>374650</xdr:colOff>
      <xdr:row>31</xdr:row>
      <xdr:rowOff>152400</xdr:rowOff>
    </xdr:to>
    <mc:AlternateContent xmlns:mc="http://schemas.openxmlformats.org/markup-compatibility/2006">
      <mc:Choice xmlns:a14="http://schemas.microsoft.com/office/drawing/2010/main" Requires="a14">
        <xdr:graphicFrame macro="">
          <xdr:nvGraphicFramePr>
            <xdr:cNvPr id="21" name="Factor">
              <a:extLst>
                <a:ext uri="{FF2B5EF4-FFF2-40B4-BE49-F238E27FC236}">
                  <a16:creationId xmlns:a16="http://schemas.microsoft.com/office/drawing/2014/main" id="{548C4483-A383-0306-FBB0-365B79F9538B}"/>
                </a:ext>
              </a:extLst>
            </xdr:cNvPr>
            <xdr:cNvGraphicFramePr/>
          </xdr:nvGraphicFramePr>
          <xdr:xfrm>
            <a:off x="0" y="0"/>
            <a:ext cx="0" cy="0"/>
          </xdr:xfrm>
          <a:graphic>
            <a:graphicData uri="http://schemas.microsoft.com/office/drawing/2010/slicer">
              <sle:slicer xmlns:sle="http://schemas.microsoft.com/office/drawing/2010/slicer" name="Factor"/>
            </a:graphicData>
          </a:graphic>
        </xdr:graphicFrame>
      </mc:Choice>
      <mc:Fallback>
        <xdr:sp macro="" textlink="">
          <xdr:nvSpPr>
            <xdr:cNvPr id="0" name=""/>
            <xdr:cNvSpPr>
              <a:spLocks noTextEdit="1"/>
            </xdr:cNvSpPr>
          </xdr:nvSpPr>
          <xdr:spPr>
            <a:xfrm>
              <a:off x="10058400" y="4794250"/>
              <a:ext cx="189865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81.506722222221" createdVersion="8" refreshedVersion="8" minRefreshableVersion="3" recordCount="40" xr:uid="{5E560B5F-ED8C-4E05-AB36-D842B971508B}">
  <cacheSource type="worksheet">
    <worksheetSource name="Table1"/>
  </cacheSource>
  <cacheFields count="25">
    <cacheField name="gender" numFmtId="0">
      <sharedItems count="2">
        <s v="Female"/>
        <s v="Male"/>
      </sharedItems>
    </cacheField>
    <cacheField name="age" numFmtId="0">
      <sharedItems containsSemiMixedTypes="0" containsString="0" containsNumber="1" containsInteger="1" minValue="21" maxValue="35"/>
    </cacheField>
    <cacheField name="Age Group" numFmtId="0">
      <sharedItems count="3">
        <s v="Experienced Adulthood"/>
        <s v="Early Adulthood"/>
        <s v="Established Adulthood"/>
      </sharedItems>
    </cacheField>
    <cacheField name="Investment_Avenues" numFmtId="0">
      <sharedItems/>
    </cacheField>
    <cacheField name="Mutual_Funds" numFmtId="166">
      <sharedItems containsSemiMixedTypes="0" containsString="0" containsNumber="1" containsInteger="1" minValue="1" maxValue="7"/>
    </cacheField>
    <cacheField name="Equity_Market" numFmtId="166">
      <sharedItems containsSemiMixedTypes="0" containsString="0" containsNumber="1" containsInteger="1" minValue="1" maxValue="6"/>
    </cacheField>
    <cacheField name="Debentures" numFmtId="166">
      <sharedItems containsSemiMixedTypes="0" containsString="0" containsNumber="1" containsInteger="1" minValue="1" maxValue="7"/>
    </cacheField>
    <cacheField name="Government_Bonds" numFmtId="166">
      <sharedItems containsSemiMixedTypes="0" containsString="0" containsNumber="1" containsInteger="1" minValue="1" maxValue="7"/>
    </cacheField>
    <cacheField name="Fixed_Deposits" numFmtId="166">
      <sharedItems containsSemiMixedTypes="0" containsString="0" containsNumber="1" containsInteger="1" minValue="1" maxValue="7"/>
    </cacheField>
    <cacheField name="PPF" numFmtId="166">
      <sharedItems containsSemiMixedTypes="0" containsString="0" containsNumber="1" containsInteger="1" minValue="1" maxValue="6"/>
    </cacheField>
    <cacheField name="Gold" numFmtId="166">
      <sharedItems containsSemiMixedTypes="0" containsString="0" containsNumber="1" containsInteger="1" minValue="2" maxValue="7"/>
    </cacheField>
    <cacheField name="Stock_Marktet" numFmtId="0">
      <sharedItems/>
    </cacheField>
    <cacheField name="Factor" numFmtId="0">
      <sharedItems count="3">
        <s v="Returns"/>
        <s v="Locking Period"/>
        <s v="Risk"/>
      </sharedItems>
    </cacheField>
    <cacheField name="Objective" numFmtId="0">
      <sharedItems count="3">
        <s v="Capital Appreciation"/>
        <s v="Income"/>
        <s v="Growth"/>
      </sharedItems>
    </cacheField>
    <cacheField name="Purpose" numFmtId="0">
      <sharedItems/>
    </cacheField>
    <cacheField name="Duration" numFmtId="0">
      <sharedItems count="4">
        <s v="1-3 years"/>
        <s v="More than 5 years"/>
        <s v="3-5 years"/>
        <s v="Less than 1 year"/>
      </sharedItems>
    </cacheField>
    <cacheField name="Invest_Monitor" numFmtId="0">
      <sharedItems/>
    </cacheField>
    <cacheField name="Returns %" numFmtId="0">
      <sharedItems count="3">
        <s v="20%-30%"/>
        <s v="10%-20%"/>
        <s v="30%-40%"/>
      </sharedItems>
    </cacheField>
    <cacheField name="Avenue" numFmtId="0">
      <sharedItems count="4">
        <s v="Mutual Fund"/>
        <s v="Equity"/>
        <s v="Fixed Deposits"/>
        <s v="Public Provident Fund"/>
      </sharedItems>
    </cacheField>
    <cacheField name="Savings Obectives" numFmtId="0">
      <sharedItems count="3">
        <s v="Retirement Plan"/>
        <s v="Health Care"/>
        <s v="Education"/>
      </sharedItems>
    </cacheField>
    <cacheField name="Reason_Equity" numFmtId="0">
      <sharedItems/>
    </cacheField>
    <cacheField name="Reason_Mutual" numFmtId="0">
      <sharedItems count="3">
        <s v="Better Returns"/>
        <s v="Tax Benefits"/>
        <s v="Fund Diversification"/>
      </sharedItems>
    </cacheField>
    <cacheField name="Reason_Bonds" numFmtId="0">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pivotCacheId="1549662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s v="Yes"/>
    <n v="1"/>
    <n v="2"/>
    <n v="5"/>
    <n v="3"/>
    <n v="7"/>
    <n v="6"/>
    <n v="4"/>
    <s v="Yes"/>
    <x v="0"/>
    <x v="0"/>
    <s v="Wealth Creation"/>
    <x v="0"/>
    <s v="Monthly"/>
    <x v="0"/>
    <x v="0"/>
    <x v="0"/>
    <s v="Capital Appreciation"/>
    <x v="0"/>
    <s v="Safe Investment"/>
    <s v="Fixed Returns"/>
    <s v="Newspapers and Magazines"/>
  </r>
  <r>
    <x v="0"/>
    <n v="23"/>
    <x v="1"/>
    <s v="Yes"/>
    <n v="4"/>
    <n v="3"/>
    <n v="2"/>
    <n v="1"/>
    <n v="5"/>
    <n v="6"/>
    <n v="7"/>
    <s v="No"/>
    <x v="1"/>
    <x v="0"/>
    <s v="Wealth Creation"/>
    <x v="1"/>
    <s v="Weekly"/>
    <x v="0"/>
    <x v="0"/>
    <x v="1"/>
    <s v="Dividend"/>
    <x v="0"/>
    <s v="Safe Investment"/>
    <s v="High Interest Rates"/>
    <s v="Financial Consultants"/>
  </r>
  <r>
    <x v="1"/>
    <n v="30"/>
    <x v="2"/>
    <s v="Yes"/>
    <n v="3"/>
    <n v="6"/>
    <n v="4"/>
    <n v="2"/>
    <n v="5"/>
    <n v="1"/>
    <n v="7"/>
    <s v="Yes"/>
    <x v="0"/>
    <x v="0"/>
    <s v="Wealth Creation"/>
    <x v="2"/>
    <s v="Daily"/>
    <x v="0"/>
    <x v="1"/>
    <x v="0"/>
    <s v="Capital Appreciation"/>
    <x v="1"/>
    <s v="Assured Returns"/>
    <s v="Fixed Returns"/>
    <s v="Television"/>
  </r>
  <r>
    <x v="1"/>
    <n v="22"/>
    <x v="1"/>
    <s v="Yes"/>
    <n v="2"/>
    <n v="1"/>
    <n v="3"/>
    <n v="7"/>
    <n v="6"/>
    <n v="4"/>
    <n v="5"/>
    <s v="Yes"/>
    <x v="0"/>
    <x v="1"/>
    <s v="Wealth Creation"/>
    <x v="3"/>
    <s v="Daily"/>
    <x v="1"/>
    <x v="1"/>
    <x v="0"/>
    <s v="Dividend"/>
    <x v="2"/>
    <s v="Tax Incentives"/>
    <s v="High Interest Rates"/>
    <s v="Internet"/>
  </r>
  <r>
    <x v="0"/>
    <n v="24"/>
    <x v="1"/>
    <s v="No"/>
    <n v="2"/>
    <n v="1"/>
    <n v="3"/>
    <n v="6"/>
    <n v="4"/>
    <n v="5"/>
    <n v="7"/>
    <s v="No"/>
    <x v="0"/>
    <x v="1"/>
    <s v="Wealth Creation"/>
    <x v="3"/>
    <s v="Daily"/>
    <x v="0"/>
    <x v="1"/>
    <x v="0"/>
    <s v="Capital Appreciation"/>
    <x v="0"/>
    <s v="Safe Investment"/>
    <s v="Risk Free"/>
    <s v="Internet"/>
  </r>
  <r>
    <x v="0"/>
    <n v="24"/>
    <x v="1"/>
    <s v="No"/>
    <n v="7"/>
    <n v="5"/>
    <n v="4"/>
    <n v="6"/>
    <n v="3"/>
    <n v="1"/>
    <n v="2"/>
    <s v="No"/>
    <x v="2"/>
    <x v="0"/>
    <s v="Wealth Creation"/>
    <x v="0"/>
    <s v="Daily"/>
    <x v="2"/>
    <x v="0"/>
    <x v="0"/>
    <s v="Liquidity"/>
    <x v="2"/>
    <s v="Safe Investment"/>
    <s v="Risk Free"/>
    <s v="Internet"/>
  </r>
  <r>
    <x v="0"/>
    <n v="27"/>
    <x v="2"/>
    <s v="Yes"/>
    <n v="3"/>
    <n v="6"/>
    <n v="4"/>
    <n v="2"/>
    <n v="5"/>
    <n v="1"/>
    <n v="7"/>
    <s v="Yes"/>
    <x v="0"/>
    <x v="0"/>
    <s v="Wealth Creation"/>
    <x v="2"/>
    <s v="Monthly"/>
    <x v="0"/>
    <x v="1"/>
    <x v="0"/>
    <s v="Capital Appreciation"/>
    <x v="0"/>
    <s v="Assured Returns"/>
    <s v="High Interest Rates"/>
    <s v="Financial Consultants"/>
  </r>
  <r>
    <x v="1"/>
    <n v="21"/>
    <x v="1"/>
    <s v="Yes"/>
    <n v="2"/>
    <n v="3"/>
    <n v="7"/>
    <n v="4"/>
    <n v="6"/>
    <n v="1"/>
    <n v="5"/>
    <s v="Yes"/>
    <x v="2"/>
    <x v="0"/>
    <s v="Wealth Creation"/>
    <x v="2"/>
    <s v="Monthly"/>
    <x v="0"/>
    <x v="0"/>
    <x v="0"/>
    <s v="Capital Appreciation"/>
    <x v="0"/>
    <s v="Assured Returns"/>
    <s v="Risk Free"/>
    <s v="Newspapers and Magazines"/>
  </r>
  <r>
    <x v="1"/>
    <n v="35"/>
    <x v="0"/>
    <s v="Yes"/>
    <n v="2"/>
    <n v="4"/>
    <n v="7"/>
    <n v="5"/>
    <n v="3"/>
    <n v="1"/>
    <n v="6"/>
    <s v="Yes"/>
    <x v="0"/>
    <x v="2"/>
    <s v="Savings for Future"/>
    <x v="0"/>
    <s v="Weekly"/>
    <x v="0"/>
    <x v="1"/>
    <x v="0"/>
    <s v="Capital Appreciation"/>
    <x v="2"/>
    <s v="Safe Investment"/>
    <s v="Fixed Returns"/>
    <s v="Television"/>
  </r>
  <r>
    <x v="1"/>
    <n v="31"/>
    <x v="0"/>
    <s v="Yes"/>
    <n v="1"/>
    <n v="3"/>
    <n v="7"/>
    <n v="4"/>
    <n v="5"/>
    <n v="2"/>
    <n v="6"/>
    <s v="Yes"/>
    <x v="0"/>
    <x v="0"/>
    <s v="Wealth Creation"/>
    <x v="2"/>
    <s v="Monthly"/>
    <x v="2"/>
    <x v="2"/>
    <x v="0"/>
    <s v="Capital Appreciation"/>
    <x v="2"/>
    <s v="Assured Returns"/>
    <s v="Fixed Returns"/>
    <s v="Newspapers and Magazines"/>
  </r>
  <r>
    <x v="0"/>
    <n v="35"/>
    <x v="0"/>
    <s v="Yes"/>
    <n v="2"/>
    <n v="4"/>
    <n v="7"/>
    <n v="5"/>
    <n v="3"/>
    <n v="1"/>
    <n v="6"/>
    <s v="Yes"/>
    <x v="2"/>
    <x v="2"/>
    <s v="Savings for Future"/>
    <x v="2"/>
    <s v="Monthly"/>
    <x v="0"/>
    <x v="0"/>
    <x v="0"/>
    <s v="Capital Appreciation"/>
    <x v="0"/>
    <s v="Assured Returns"/>
    <s v="Risk Free"/>
    <s v="Financial Consultants"/>
  </r>
  <r>
    <x v="1"/>
    <n v="29"/>
    <x v="2"/>
    <s v="Yes"/>
    <n v="2"/>
    <n v="5"/>
    <n v="7"/>
    <n v="6"/>
    <n v="3"/>
    <n v="1"/>
    <n v="4"/>
    <s v="Yes"/>
    <x v="2"/>
    <x v="0"/>
    <s v="Wealth Creation"/>
    <x v="0"/>
    <s v="Monthly"/>
    <x v="0"/>
    <x v="0"/>
    <x v="0"/>
    <s v="Capital Appreciation"/>
    <x v="2"/>
    <s v="Assured Returns"/>
    <s v="Fixed Returns"/>
    <s v="Financial Consultants"/>
  </r>
  <r>
    <x v="0"/>
    <n v="21"/>
    <x v="1"/>
    <s v="No"/>
    <n v="1"/>
    <n v="2"/>
    <n v="3"/>
    <n v="4"/>
    <n v="5"/>
    <n v="6"/>
    <n v="7"/>
    <s v="No"/>
    <x v="0"/>
    <x v="0"/>
    <s v="Savings for Future"/>
    <x v="0"/>
    <s v="Weekly"/>
    <x v="0"/>
    <x v="0"/>
    <x v="2"/>
    <s v="Dividend"/>
    <x v="0"/>
    <s v="Safe Investment"/>
    <s v="Risk Free"/>
    <s v="Internet"/>
  </r>
  <r>
    <x v="0"/>
    <n v="28"/>
    <x v="2"/>
    <s v="Yes"/>
    <n v="2"/>
    <n v="3"/>
    <n v="7"/>
    <n v="4"/>
    <n v="5"/>
    <n v="1"/>
    <n v="6"/>
    <s v="Yes"/>
    <x v="0"/>
    <x v="0"/>
    <s v="Wealth Creation"/>
    <x v="0"/>
    <s v="Monthly"/>
    <x v="0"/>
    <x v="0"/>
    <x v="0"/>
    <s v="Capital Appreciation"/>
    <x v="2"/>
    <s v="Assured Returns"/>
    <s v="Risk Free"/>
    <s v="Newspapers and Magazines"/>
  </r>
  <r>
    <x v="0"/>
    <n v="25"/>
    <x v="1"/>
    <s v="Yes"/>
    <n v="2"/>
    <n v="3"/>
    <n v="7"/>
    <n v="5"/>
    <n v="4"/>
    <n v="1"/>
    <n v="6"/>
    <s v="Yes"/>
    <x v="0"/>
    <x v="0"/>
    <s v="Wealth Creation"/>
    <x v="0"/>
    <s v="Monthly"/>
    <x v="0"/>
    <x v="2"/>
    <x v="1"/>
    <s v="Dividend"/>
    <x v="0"/>
    <s v="Assured Returns"/>
    <s v="Risk Free"/>
    <s v="Financial Consultants"/>
  </r>
  <r>
    <x v="1"/>
    <n v="27"/>
    <x v="2"/>
    <s v="Yes"/>
    <n v="2"/>
    <n v="3"/>
    <n v="7"/>
    <n v="5"/>
    <n v="4"/>
    <n v="1"/>
    <n v="6"/>
    <s v="Yes"/>
    <x v="0"/>
    <x v="0"/>
    <s v="Wealth Creation"/>
    <x v="0"/>
    <s v="Monthly"/>
    <x v="0"/>
    <x v="0"/>
    <x v="1"/>
    <s v="Capital Appreciation"/>
    <x v="2"/>
    <s v="Assured Returns"/>
    <s v="Risk Free"/>
    <s v="Newspapers and Magazines"/>
  </r>
  <r>
    <x v="0"/>
    <n v="28"/>
    <x v="2"/>
    <s v="Yes"/>
    <n v="3"/>
    <n v="2"/>
    <n v="7"/>
    <n v="5"/>
    <n v="4"/>
    <n v="1"/>
    <n v="6"/>
    <s v="Yes"/>
    <x v="2"/>
    <x v="2"/>
    <s v="Wealth Creation"/>
    <x v="0"/>
    <s v="Monthly"/>
    <x v="0"/>
    <x v="2"/>
    <x v="1"/>
    <s v="Capital Appreciation"/>
    <x v="2"/>
    <s v="Assured Returns"/>
    <s v="Risk Free"/>
    <s v="Television"/>
  </r>
  <r>
    <x v="1"/>
    <n v="27"/>
    <x v="2"/>
    <s v="Yes"/>
    <n v="3"/>
    <n v="2"/>
    <n v="7"/>
    <n v="4"/>
    <n v="5"/>
    <n v="1"/>
    <n v="6"/>
    <s v="Yes"/>
    <x v="0"/>
    <x v="0"/>
    <s v="Wealth Creation"/>
    <x v="0"/>
    <s v="Monthly"/>
    <x v="0"/>
    <x v="0"/>
    <x v="0"/>
    <s v="Capital Appreciation"/>
    <x v="0"/>
    <s v="Assured Returns"/>
    <s v="Risk Free"/>
    <s v="Financial Consultants"/>
  </r>
  <r>
    <x v="1"/>
    <n v="29"/>
    <x v="2"/>
    <s v="Yes"/>
    <n v="3"/>
    <n v="2"/>
    <n v="7"/>
    <n v="4"/>
    <n v="5"/>
    <n v="1"/>
    <n v="6"/>
    <s v="Yes"/>
    <x v="2"/>
    <x v="0"/>
    <s v="Wealth Creation"/>
    <x v="0"/>
    <s v="Monthly"/>
    <x v="0"/>
    <x v="0"/>
    <x v="0"/>
    <s v="Capital Appreciation"/>
    <x v="0"/>
    <s v="Assured Returns"/>
    <s v="Risk Free"/>
    <s v="Newspapers and Magazines"/>
  </r>
  <r>
    <x v="1"/>
    <n v="26"/>
    <x v="2"/>
    <s v="Yes"/>
    <n v="3"/>
    <n v="4"/>
    <n v="6"/>
    <n v="5"/>
    <n v="1"/>
    <n v="2"/>
    <n v="7"/>
    <s v="Yes"/>
    <x v="2"/>
    <x v="0"/>
    <s v="Wealth Creation"/>
    <x v="2"/>
    <s v="Monthly"/>
    <x v="0"/>
    <x v="2"/>
    <x v="1"/>
    <s v="Capital Appreciation"/>
    <x v="2"/>
    <s v="Assured Returns"/>
    <s v="Risk Free"/>
    <s v="Newspapers and Magazines"/>
  </r>
  <r>
    <x v="1"/>
    <n v="29"/>
    <x v="2"/>
    <s v="Yes"/>
    <n v="2"/>
    <n v="4"/>
    <n v="7"/>
    <n v="5"/>
    <n v="3"/>
    <n v="1"/>
    <n v="6"/>
    <s v="Yes"/>
    <x v="0"/>
    <x v="2"/>
    <s v="Wealth Creation"/>
    <x v="2"/>
    <s v="Weekly"/>
    <x v="0"/>
    <x v="0"/>
    <x v="0"/>
    <s v="Capital Appreciation"/>
    <x v="0"/>
    <s v="Assured Returns"/>
    <s v="Fixed Returns"/>
    <s v="Financial Consultants"/>
  </r>
  <r>
    <x v="0"/>
    <n v="24"/>
    <x v="1"/>
    <s v="Yes"/>
    <n v="2"/>
    <n v="4"/>
    <n v="5"/>
    <n v="6"/>
    <n v="3"/>
    <n v="1"/>
    <n v="7"/>
    <s v="Yes"/>
    <x v="2"/>
    <x v="0"/>
    <s v="Wealth Creation"/>
    <x v="2"/>
    <s v="Monthly"/>
    <x v="0"/>
    <x v="1"/>
    <x v="1"/>
    <s v="Capital Appreciation"/>
    <x v="0"/>
    <s v="Assured Returns"/>
    <s v="Risk Free"/>
    <s v="Newspapers and Magazines"/>
  </r>
  <r>
    <x v="1"/>
    <n v="27"/>
    <x v="2"/>
    <s v="Yes"/>
    <n v="3"/>
    <n v="4"/>
    <n v="6"/>
    <n v="5"/>
    <n v="2"/>
    <n v="1"/>
    <n v="7"/>
    <s v="Yes"/>
    <x v="0"/>
    <x v="0"/>
    <s v="Wealth Creation"/>
    <x v="2"/>
    <s v="Monthly"/>
    <x v="0"/>
    <x v="0"/>
    <x v="0"/>
    <s v="Capital Appreciation"/>
    <x v="0"/>
    <s v="Assured Returns"/>
    <s v="Risk Free"/>
    <s v="Financial Consultants"/>
  </r>
  <r>
    <x v="1"/>
    <n v="25"/>
    <x v="1"/>
    <s v="Yes"/>
    <n v="2"/>
    <n v="4"/>
    <n v="6"/>
    <n v="5"/>
    <n v="3"/>
    <n v="1"/>
    <n v="7"/>
    <s v="Yes"/>
    <x v="2"/>
    <x v="2"/>
    <s v="Savings for Future"/>
    <x v="2"/>
    <s v="Weekly"/>
    <x v="0"/>
    <x v="3"/>
    <x v="1"/>
    <s v="Liquidity"/>
    <x v="0"/>
    <s v="Assured Returns"/>
    <s v="Risk Free"/>
    <s v="Financial Consultants"/>
  </r>
  <r>
    <x v="0"/>
    <n v="26"/>
    <x v="2"/>
    <s v="Yes"/>
    <n v="2"/>
    <n v="3"/>
    <n v="7"/>
    <n v="5"/>
    <n v="4"/>
    <n v="1"/>
    <n v="6"/>
    <s v="Yes"/>
    <x v="0"/>
    <x v="0"/>
    <s v="Wealth Creation"/>
    <x v="2"/>
    <s v="Monthly"/>
    <x v="2"/>
    <x v="3"/>
    <x v="0"/>
    <s v="Capital Appreciation"/>
    <x v="0"/>
    <s v="Assured Returns"/>
    <s v="Risk Free"/>
    <s v="Newspapers and Magazines"/>
  </r>
  <r>
    <x v="0"/>
    <n v="32"/>
    <x v="0"/>
    <s v="Yes"/>
    <n v="3"/>
    <n v="4"/>
    <n v="7"/>
    <n v="5"/>
    <n v="1"/>
    <n v="2"/>
    <n v="6"/>
    <s v="Yes"/>
    <x v="2"/>
    <x v="2"/>
    <s v="Wealth Creation"/>
    <x v="2"/>
    <s v="Monthly"/>
    <x v="0"/>
    <x v="0"/>
    <x v="0"/>
    <s v="Capital Appreciation"/>
    <x v="0"/>
    <s v="Assured Returns"/>
    <s v="Fixed Returns"/>
    <s v="Financial Consultants"/>
  </r>
  <r>
    <x v="1"/>
    <n v="26"/>
    <x v="2"/>
    <s v="Yes"/>
    <n v="3"/>
    <n v="4"/>
    <n v="6"/>
    <n v="5"/>
    <n v="1"/>
    <n v="2"/>
    <n v="7"/>
    <s v="Yes"/>
    <x v="0"/>
    <x v="0"/>
    <s v="Wealth Creation"/>
    <x v="2"/>
    <s v="Monthly"/>
    <x v="0"/>
    <x v="0"/>
    <x v="0"/>
    <s v="Dividend"/>
    <x v="2"/>
    <s v="Assured Returns"/>
    <s v="Fixed Returns"/>
    <s v="Financial Consultants"/>
  </r>
  <r>
    <x v="1"/>
    <n v="31"/>
    <x v="0"/>
    <s v="Yes"/>
    <n v="2"/>
    <n v="3"/>
    <n v="7"/>
    <n v="6"/>
    <n v="4"/>
    <n v="1"/>
    <n v="5"/>
    <s v="Yes"/>
    <x v="2"/>
    <x v="2"/>
    <s v="Savings for Future"/>
    <x v="0"/>
    <s v="Monthly"/>
    <x v="0"/>
    <x v="2"/>
    <x v="1"/>
    <s v="Capital Appreciation"/>
    <x v="2"/>
    <s v="Safe Investment"/>
    <s v="Fixed Returns"/>
    <s v="Television"/>
  </r>
  <r>
    <x v="1"/>
    <n v="29"/>
    <x v="2"/>
    <s v="Yes"/>
    <n v="2"/>
    <n v="3"/>
    <n v="6"/>
    <n v="5"/>
    <n v="1"/>
    <n v="4"/>
    <n v="7"/>
    <s v="Yes"/>
    <x v="0"/>
    <x v="0"/>
    <s v="Wealth Creation"/>
    <x v="0"/>
    <s v="Monthly"/>
    <x v="0"/>
    <x v="1"/>
    <x v="0"/>
    <s v="Capital Appreciation"/>
    <x v="0"/>
    <s v="Assured Returns"/>
    <s v="Risk Free"/>
    <s v="Television"/>
  </r>
  <r>
    <x v="0"/>
    <n v="34"/>
    <x v="0"/>
    <s v="Yes"/>
    <n v="5"/>
    <n v="4"/>
    <n v="3"/>
    <n v="2"/>
    <n v="7"/>
    <n v="1"/>
    <n v="6"/>
    <s v="Yes"/>
    <x v="0"/>
    <x v="1"/>
    <s v="Returns"/>
    <x v="2"/>
    <s v="Monthly"/>
    <x v="1"/>
    <x v="0"/>
    <x v="0"/>
    <s v="Capital Appreciation"/>
    <x v="1"/>
    <s v="Safe Investment"/>
    <s v="Fixed Returns"/>
    <s v="Newspapers and Magazines"/>
  </r>
  <r>
    <x v="1"/>
    <n v="27"/>
    <x v="2"/>
    <s v="Yes"/>
    <n v="4"/>
    <n v="5"/>
    <n v="1"/>
    <n v="2"/>
    <n v="7"/>
    <n v="3"/>
    <n v="6"/>
    <s v="No"/>
    <x v="0"/>
    <x v="2"/>
    <s v="Wealth Creation"/>
    <x v="0"/>
    <s v="Monthly"/>
    <x v="1"/>
    <x v="0"/>
    <x v="2"/>
    <s v="Capital Appreciation"/>
    <x v="1"/>
    <s v="Safe Investment"/>
    <s v="Fixed Returns"/>
    <s v="Television"/>
  </r>
  <r>
    <x v="0"/>
    <n v="31"/>
    <x v="0"/>
    <s v="Yes"/>
    <n v="2"/>
    <n v="4"/>
    <n v="7"/>
    <n v="6"/>
    <n v="3"/>
    <n v="1"/>
    <n v="5"/>
    <s v="Yes"/>
    <x v="0"/>
    <x v="0"/>
    <s v="Wealth Creation"/>
    <x v="2"/>
    <s v="Monthly"/>
    <x v="0"/>
    <x v="2"/>
    <x v="0"/>
    <s v="Capital Appreciation"/>
    <x v="0"/>
    <s v="Assured Returns"/>
    <s v="Fixed Returns"/>
    <s v="Financial Consultants"/>
  </r>
  <r>
    <x v="1"/>
    <n v="27"/>
    <x v="2"/>
    <s v="Yes"/>
    <n v="2"/>
    <n v="4"/>
    <n v="7"/>
    <n v="5"/>
    <n v="1"/>
    <n v="3"/>
    <n v="6"/>
    <s v="Yes"/>
    <x v="0"/>
    <x v="0"/>
    <s v="Wealth Creation"/>
    <x v="2"/>
    <s v="Monthly"/>
    <x v="2"/>
    <x v="1"/>
    <x v="1"/>
    <s v="Capital Appreciation"/>
    <x v="2"/>
    <s v="Assured Returns"/>
    <s v="Fixed Returns"/>
    <s v="Newspapers and Magazines"/>
  </r>
  <r>
    <x v="1"/>
    <n v="26"/>
    <x v="2"/>
    <s v="Yes"/>
    <n v="2"/>
    <n v="3"/>
    <n v="6"/>
    <n v="4"/>
    <n v="1"/>
    <n v="5"/>
    <n v="7"/>
    <s v="Yes"/>
    <x v="0"/>
    <x v="0"/>
    <s v="Returns"/>
    <x v="0"/>
    <s v="Monthly"/>
    <x v="0"/>
    <x v="2"/>
    <x v="2"/>
    <s v="Dividend"/>
    <x v="0"/>
    <s v="Safe Investment"/>
    <s v="Risk Free"/>
    <s v="Newspapers and Magazines"/>
  </r>
  <r>
    <x v="1"/>
    <n v="27"/>
    <x v="2"/>
    <s v="Yes"/>
    <n v="2"/>
    <n v="3"/>
    <n v="6"/>
    <n v="5"/>
    <n v="4"/>
    <n v="1"/>
    <n v="7"/>
    <s v="Yes"/>
    <x v="0"/>
    <x v="0"/>
    <s v="Wealth Creation"/>
    <x v="0"/>
    <s v="Weekly"/>
    <x v="0"/>
    <x v="0"/>
    <x v="1"/>
    <s v="Capital Appreciation"/>
    <x v="0"/>
    <s v="Safe Investment"/>
    <s v="Fixed Returns"/>
    <s v="Financial Consultants"/>
  </r>
  <r>
    <x v="1"/>
    <n v="30"/>
    <x v="2"/>
    <s v="Yes"/>
    <n v="1"/>
    <n v="4"/>
    <n v="6"/>
    <n v="5"/>
    <n v="3"/>
    <n v="2"/>
    <n v="7"/>
    <s v="Yes"/>
    <x v="2"/>
    <x v="2"/>
    <s v="Wealth Creation"/>
    <x v="2"/>
    <s v="Monthly"/>
    <x v="0"/>
    <x v="2"/>
    <x v="1"/>
    <s v="Capital Appreciation"/>
    <x v="0"/>
    <s v="Assured Returns"/>
    <s v="Fixed Returns"/>
    <s v="Financial Consultants"/>
  </r>
  <r>
    <x v="1"/>
    <n v="30"/>
    <x v="2"/>
    <s v="Yes"/>
    <n v="2"/>
    <n v="4"/>
    <n v="7"/>
    <n v="5"/>
    <n v="1"/>
    <n v="3"/>
    <n v="6"/>
    <s v="Yes"/>
    <x v="0"/>
    <x v="0"/>
    <s v="Wealth Creation"/>
    <x v="0"/>
    <s v="Monthly"/>
    <x v="0"/>
    <x v="1"/>
    <x v="0"/>
    <s v="Capital Appreciation"/>
    <x v="0"/>
    <s v="Assured Returns"/>
    <s v="Risk Free"/>
    <s v="Newspapers and Magazines"/>
  </r>
  <r>
    <x v="1"/>
    <n v="25"/>
    <x v="1"/>
    <s v="Yes"/>
    <n v="5"/>
    <n v="4"/>
    <n v="7"/>
    <n v="6"/>
    <n v="1"/>
    <n v="2"/>
    <n v="3"/>
    <s v="Yes"/>
    <x v="2"/>
    <x v="2"/>
    <s v="Savings for Future"/>
    <x v="2"/>
    <s v="Monthly"/>
    <x v="2"/>
    <x v="3"/>
    <x v="1"/>
    <s v="Capital Appreciation"/>
    <x v="0"/>
    <s v="Safe Investment"/>
    <s v="Fixed Returns"/>
    <s v="Financial Consultants"/>
  </r>
  <r>
    <x v="1"/>
    <n v="31"/>
    <x v="0"/>
    <s v="Yes"/>
    <n v="2"/>
    <n v="4"/>
    <n v="7"/>
    <n v="5"/>
    <n v="3"/>
    <n v="1"/>
    <n v="6"/>
    <s v="Yes"/>
    <x v="2"/>
    <x v="2"/>
    <s v="Wealth Creation"/>
    <x v="0"/>
    <s v="Weekly"/>
    <x v="0"/>
    <x v="1"/>
    <x v="1"/>
    <s v="Dividend"/>
    <x v="2"/>
    <s v="Assured Returns"/>
    <s v="Fixed Returns"/>
    <s v="Newspapers and Magazines"/>
  </r>
  <r>
    <x v="1"/>
    <n v="29"/>
    <x v="2"/>
    <s v="Yes"/>
    <n v="4"/>
    <n v="3"/>
    <n v="5"/>
    <n v="7"/>
    <n v="2"/>
    <n v="1"/>
    <n v="6"/>
    <s v="Yes"/>
    <x v="0"/>
    <x v="0"/>
    <s v="Wealth Creation"/>
    <x v="2"/>
    <s v="Monthly"/>
    <x v="0"/>
    <x v="2"/>
    <x v="0"/>
    <s v="Dividend"/>
    <x v="0"/>
    <s v="Safe Investment"/>
    <s v="Fixed Returns"/>
    <s v="Financial Consulta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8E7A1-D75B-4511-952B-98330A071E0E}"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turns %" colHeaderCaption="Reason Mutual Labels">
  <location ref="A95:E100" firstHeaderRow="1" firstDataRow="2" firstDataCol="1"/>
  <pivotFields count="25">
    <pivotField showAll="0">
      <items count="3">
        <item x="0"/>
        <item x="1"/>
        <item t="default"/>
      </items>
    </pivotField>
    <pivotField showAll="0"/>
    <pivotField showAll="0" sortType="ascending">
      <items count="4">
        <item x="1"/>
        <item x="2"/>
        <item x="0"/>
        <item t="default"/>
      </items>
    </pivotField>
    <pivotField showAll="0"/>
    <pivotField numFmtId="166" showAll="0"/>
    <pivotField numFmtId="166" showAll="0"/>
    <pivotField numFmtId="166" showAll="0"/>
    <pivotField numFmtId="166" showAll="0"/>
    <pivotField numFmtId="166" showAll="0"/>
    <pivotField numFmtId="166" showAll="0"/>
    <pivotField numFmtId="166" showAll="0"/>
    <pivotField showAll="0"/>
    <pivotField showAll="0">
      <items count="4">
        <item x="1"/>
        <item x="0"/>
        <item x="2"/>
        <item t="default"/>
      </items>
    </pivotField>
    <pivotField showAll="0">
      <items count="4">
        <item x="0"/>
        <item x="2"/>
        <item x="1"/>
        <item t="default"/>
      </items>
    </pivotField>
    <pivotField showAll="0"/>
    <pivotField showAll="0"/>
    <pivotField showAll="0"/>
    <pivotField axis="axisRow" showAll="0">
      <items count="4">
        <item x="1"/>
        <item x="0"/>
        <item x="2"/>
        <item t="default"/>
      </items>
    </pivotField>
    <pivotField showAll="0"/>
    <pivotField showAll="0">
      <items count="4">
        <item x="2"/>
        <item x="1"/>
        <item x="0"/>
        <item t="default"/>
      </items>
    </pivotField>
    <pivotField showAll="0"/>
    <pivotField axis="axisCol" dataField="1" showAll="0">
      <items count="4">
        <item x="0"/>
        <item x="2"/>
        <item x="1"/>
        <item t="default"/>
      </items>
    </pivotField>
    <pivotField showAll="0"/>
    <pivotField showAll="0"/>
    <pivotField showAll="0"/>
  </pivotFields>
  <rowFields count="1">
    <field x="17"/>
  </rowFields>
  <rowItems count="4">
    <i>
      <x/>
    </i>
    <i>
      <x v="1"/>
    </i>
    <i>
      <x v="2"/>
    </i>
    <i t="grand">
      <x/>
    </i>
  </rowItems>
  <colFields count="1">
    <field x="21"/>
  </colFields>
  <colItems count="4">
    <i>
      <x/>
    </i>
    <i>
      <x v="1"/>
    </i>
    <i>
      <x v="2"/>
    </i>
    <i t="grand">
      <x/>
    </i>
  </colItems>
  <dataFields count="1">
    <dataField name="Count of Reason_Mutual" fld="21" subtotal="count" baseField="0" baseItem="0"/>
  </dataFields>
  <chartFormats count="6">
    <chartFormat chart="6" format="0" series="1">
      <pivotArea type="data" outline="0" fieldPosition="0">
        <references count="2">
          <reference field="4294967294" count="1" selected="0">
            <x v="0"/>
          </reference>
          <reference field="21" count="1" selected="0">
            <x v="0"/>
          </reference>
        </references>
      </pivotArea>
    </chartFormat>
    <chartFormat chart="6" format="1" series="1">
      <pivotArea type="data" outline="0" fieldPosition="0">
        <references count="2">
          <reference field="4294967294" count="1" selected="0">
            <x v="0"/>
          </reference>
          <reference field="21" count="1" selected="0">
            <x v="1"/>
          </reference>
        </references>
      </pivotArea>
    </chartFormat>
    <chartFormat chart="6" format="2" series="1">
      <pivotArea type="data" outline="0" fieldPosition="0">
        <references count="2">
          <reference field="4294967294" count="1" selected="0">
            <x v="0"/>
          </reference>
          <reference field="21" count="1" selected="0">
            <x v="2"/>
          </reference>
        </references>
      </pivotArea>
    </chartFormat>
    <chartFormat chart="12" format="6" series="1">
      <pivotArea type="data" outline="0" fieldPosition="0">
        <references count="2">
          <reference field="4294967294" count="1" selected="0">
            <x v="0"/>
          </reference>
          <reference field="21" count="1" selected="0">
            <x v="0"/>
          </reference>
        </references>
      </pivotArea>
    </chartFormat>
    <chartFormat chart="12" format="7" series="1">
      <pivotArea type="data" outline="0" fieldPosition="0">
        <references count="2">
          <reference field="4294967294" count="1" selected="0">
            <x v="0"/>
          </reference>
          <reference field="21" count="1" selected="0">
            <x v="1"/>
          </reference>
        </references>
      </pivotArea>
    </chartFormat>
    <chartFormat chart="12" format="8" series="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3FF334-50DA-44B8-809C-5032156AA135}"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vestment Durations" colHeaderCaption="Savings Objectives Labels">
  <location ref="A67:E73" firstHeaderRow="1" firstDataRow="2" firstDataCol="1"/>
  <pivotFields count="25">
    <pivotField showAll="0">
      <items count="3">
        <item x="0"/>
        <item x="1"/>
        <item t="default"/>
      </items>
    </pivotField>
    <pivotField showAll="0"/>
    <pivotField showAll="0" sortType="ascending">
      <items count="4">
        <item x="1"/>
        <item x="2"/>
        <item x="0"/>
        <item t="default"/>
      </items>
    </pivotField>
    <pivotField showAll="0"/>
    <pivotField numFmtId="166" showAll="0"/>
    <pivotField numFmtId="166" showAll="0"/>
    <pivotField numFmtId="166" showAll="0"/>
    <pivotField numFmtId="166" showAll="0"/>
    <pivotField numFmtId="166" showAll="0"/>
    <pivotField numFmtId="166" showAll="0"/>
    <pivotField numFmtId="166" showAll="0"/>
    <pivotField showAll="0"/>
    <pivotField showAll="0">
      <items count="4">
        <item x="1"/>
        <item x="0"/>
        <item x="2"/>
        <item t="default"/>
      </items>
    </pivotField>
    <pivotField showAll="0">
      <items count="4">
        <item x="0"/>
        <item x="2"/>
        <item x="1"/>
        <item t="default"/>
      </items>
    </pivotField>
    <pivotField showAll="0"/>
    <pivotField axis="axisRow" showAll="0" sortType="descending">
      <items count="5">
        <item x="0"/>
        <item x="2"/>
        <item x="3"/>
        <item x="1"/>
        <item t="default"/>
      </items>
      <autoSortScope>
        <pivotArea dataOnly="0" outline="0" fieldPosition="0">
          <references count="2">
            <reference field="4294967294" count="1" selected="0">
              <x v="0"/>
            </reference>
            <reference field="19" count="1" selected="0">
              <x v="2"/>
            </reference>
          </references>
        </pivotArea>
      </autoSortScope>
    </pivotField>
    <pivotField showAll="0"/>
    <pivotField showAll="0"/>
    <pivotField showAll="0"/>
    <pivotField axis="axisCol" dataField="1" showAll="0">
      <items count="4">
        <item x="2"/>
        <item x="1"/>
        <item x="0"/>
        <item t="default"/>
      </items>
    </pivotField>
    <pivotField showAll="0"/>
    <pivotField showAll="0"/>
    <pivotField showAll="0"/>
    <pivotField showAll="0"/>
    <pivotField showAll="0"/>
  </pivotFields>
  <rowFields count="1">
    <field x="15"/>
  </rowFields>
  <rowItems count="5">
    <i>
      <x v="1"/>
    </i>
    <i>
      <x/>
    </i>
    <i>
      <x v="2"/>
    </i>
    <i>
      <x v="3"/>
    </i>
    <i t="grand">
      <x/>
    </i>
  </rowItems>
  <colFields count="1">
    <field x="19"/>
  </colFields>
  <colItems count="4">
    <i>
      <x/>
    </i>
    <i>
      <x v="1"/>
    </i>
    <i>
      <x v="2"/>
    </i>
    <i t="grand">
      <x/>
    </i>
  </colItems>
  <dataFields count="1">
    <dataField name="Count of Savings Objectives" fld="19" subtotal="count" baseField="0" baseItem="0"/>
  </dataFields>
  <chartFormats count="6">
    <chartFormat chart="4" format="0" series="1">
      <pivotArea type="data" outline="0" fieldPosition="0">
        <references count="2">
          <reference field="4294967294" count="1" selected="0">
            <x v="0"/>
          </reference>
          <reference field="19" count="1" selected="0">
            <x v="0"/>
          </reference>
        </references>
      </pivotArea>
    </chartFormat>
    <chartFormat chart="4" format="1" series="1">
      <pivotArea type="data" outline="0" fieldPosition="0">
        <references count="2">
          <reference field="4294967294" count="1" selected="0">
            <x v="0"/>
          </reference>
          <reference field="19" count="1" selected="0">
            <x v="1"/>
          </reference>
        </references>
      </pivotArea>
    </chartFormat>
    <chartFormat chart="4" format="2" series="1">
      <pivotArea type="data" outline="0" fieldPosition="0">
        <references count="2">
          <reference field="4294967294" count="1" selected="0">
            <x v="0"/>
          </reference>
          <reference field="19" count="1" selected="0">
            <x v="2"/>
          </reference>
        </references>
      </pivotArea>
    </chartFormat>
    <chartFormat chart="8" format="6" series="1">
      <pivotArea type="data" outline="0" fieldPosition="0">
        <references count="2">
          <reference field="4294967294" count="1" selected="0">
            <x v="0"/>
          </reference>
          <reference field="19" count="1" selected="0">
            <x v="0"/>
          </reference>
        </references>
      </pivotArea>
    </chartFormat>
    <chartFormat chart="8" format="7" series="1">
      <pivotArea type="data" outline="0" fieldPosition="0">
        <references count="2">
          <reference field="4294967294" count="1" selected="0">
            <x v="0"/>
          </reference>
          <reference field="19" count="1" selected="0">
            <x v="1"/>
          </reference>
        </references>
      </pivotArea>
    </chartFormat>
    <chartFormat chart="8"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86C76B-1CC8-405A-935A-E8C5D72E4584}"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Groups" colHeaderCaption="Age Groups Labels">
  <location ref="A49:E54" firstHeaderRow="1" firstDataRow="2" firstDataCol="1"/>
  <pivotFields count="25">
    <pivotField showAll="0">
      <items count="3">
        <item x="0"/>
        <item x="1"/>
        <item t="default"/>
      </items>
    </pivotField>
    <pivotField showAll="0"/>
    <pivotField axis="axisRow" showAll="0" sortType="ascending">
      <items count="4">
        <item x="1"/>
        <item x="2"/>
        <item x="0"/>
        <item t="default"/>
      </items>
    </pivotField>
    <pivotField showAll="0"/>
    <pivotField numFmtId="166" showAll="0"/>
    <pivotField numFmtId="166" showAll="0"/>
    <pivotField numFmtId="166" showAll="0"/>
    <pivotField numFmtId="166" showAll="0"/>
    <pivotField numFmtId="166" showAll="0"/>
    <pivotField numFmtId="166" showAll="0"/>
    <pivotField numFmtId="166" showAll="0"/>
    <pivotField showAll="0"/>
    <pivotField axis="axisCol" dataField="1" showAll="0">
      <items count="4">
        <item x="1"/>
        <item x="0"/>
        <item x="2"/>
        <item t="default"/>
      </items>
    </pivotField>
    <pivotField showAll="0">
      <items count="4">
        <item x="0"/>
        <item x="2"/>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s>
  <rowFields count="1">
    <field x="2"/>
  </rowFields>
  <rowItems count="4">
    <i>
      <x/>
    </i>
    <i>
      <x v="1"/>
    </i>
    <i>
      <x v="2"/>
    </i>
    <i t="grand">
      <x/>
    </i>
  </rowItems>
  <colFields count="1">
    <field x="12"/>
  </colFields>
  <colItems count="4">
    <i>
      <x/>
    </i>
    <i>
      <x v="1"/>
    </i>
    <i>
      <x v="2"/>
    </i>
    <i t="grand">
      <x/>
    </i>
  </colItems>
  <dataFields count="1">
    <dataField name="Count of Factor" fld="12" subtotal="count" baseField="0" baseItem="0"/>
  </dataFields>
  <chartFormats count="6">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2">
          <reference field="4294967294" count="1" selected="0">
            <x v="0"/>
          </reference>
          <reference field="12" count="1" selected="0">
            <x v="2"/>
          </reference>
        </references>
      </pivotArea>
    </chartFormat>
    <chartFormat chart="8" format="6" series="1">
      <pivotArea type="data" outline="0" fieldPosition="0">
        <references count="2">
          <reference field="4294967294" count="1" selected="0">
            <x v="0"/>
          </reference>
          <reference field="12" count="1" selected="0">
            <x v="0"/>
          </reference>
        </references>
      </pivotArea>
    </chartFormat>
    <chartFormat chart="8" format="7"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3DD02D-430F-4C81-84D3-4AD6A0E9500E}"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Groups" colHeaderCaption="Avenues Labels">
  <location ref="A23:F28" firstHeaderRow="1" firstDataRow="2" firstDataCol="1"/>
  <pivotFields count="25">
    <pivotField showAll="0">
      <items count="3">
        <item x="0"/>
        <item x="1"/>
        <item t="default"/>
      </items>
    </pivotField>
    <pivotField showAll="0"/>
    <pivotField axis="axisRow" showAll="0" sortType="ascending">
      <items count="4">
        <item x="1"/>
        <item x="2"/>
        <item x="0"/>
        <item t="default"/>
      </items>
    </pivotField>
    <pivotField showAll="0"/>
    <pivotField numFmtId="166" showAll="0"/>
    <pivotField numFmtId="166" showAll="0"/>
    <pivotField numFmtId="166" showAll="0"/>
    <pivotField numFmtId="166" showAll="0"/>
    <pivotField numFmtId="166" showAll="0"/>
    <pivotField numFmtId="166" showAll="0"/>
    <pivotField numFmtId="166" showAll="0"/>
    <pivotField showAll="0"/>
    <pivotField showAll="0">
      <items count="4">
        <item x="1"/>
        <item x="0"/>
        <item x="2"/>
        <item t="default"/>
      </items>
    </pivotField>
    <pivotField showAll="0">
      <items count="4">
        <item x="0"/>
        <item x="2"/>
        <item x="1"/>
        <item t="default"/>
      </items>
    </pivotField>
    <pivotField showAll="0"/>
    <pivotField showAll="0"/>
    <pivotField showAll="0"/>
    <pivotField showAll="0"/>
    <pivotField axis="axisCol" dataField="1" showAll="0">
      <items count="5">
        <item x="1"/>
        <item x="2"/>
        <item x="0"/>
        <item x="3"/>
        <item t="default"/>
      </items>
    </pivotField>
    <pivotField showAll="0">
      <items count="4">
        <item x="2"/>
        <item x="1"/>
        <item x="0"/>
        <item t="default"/>
      </items>
    </pivotField>
    <pivotField showAll="0"/>
    <pivotField showAll="0"/>
    <pivotField showAll="0"/>
    <pivotField showAll="0"/>
    <pivotField showAll="0"/>
  </pivotFields>
  <rowFields count="1">
    <field x="2"/>
  </rowFields>
  <rowItems count="4">
    <i>
      <x/>
    </i>
    <i>
      <x v="1"/>
    </i>
    <i>
      <x v="2"/>
    </i>
    <i t="grand">
      <x/>
    </i>
  </rowItems>
  <colFields count="1">
    <field x="18"/>
  </colFields>
  <colItems count="5">
    <i>
      <x/>
    </i>
    <i>
      <x v="1"/>
    </i>
    <i>
      <x v="2"/>
    </i>
    <i>
      <x v="3"/>
    </i>
    <i t="grand">
      <x/>
    </i>
  </colItems>
  <dataFields count="1">
    <dataField name="Count of Avenue" fld="18" subtotal="count" baseField="0" baseItem="0"/>
  </dataFields>
  <chartFormats count="8">
    <chartFormat chart="2" format="0" series="1">
      <pivotArea type="data" outline="0" fieldPosition="0">
        <references count="2">
          <reference field="4294967294" count="1" selected="0">
            <x v="0"/>
          </reference>
          <reference field="18" count="1" selected="0">
            <x v="0"/>
          </reference>
        </references>
      </pivotArea>
    </chartFormat>
    <chartFormat chart="2" format="1" series="1">
      <pivotArea type="data" outline="0" fieldPosition="0">
        <references count="2">
          <reference field="4294967294" count="1" selected="0">
            <x v="0"/>
          </reference>
          <reference field="18" count="1" selected="0">
            <x v="1"/>
          </reference>
        </references>
      </pivotArea>
    </chartFormat>
    <chartFormat chart="2" format="2" series="1">
      <pivotArea type="data" outline="0" fieldPosition="0">
        <references count="2">
          <reference field="4294967294" count="1" selected="0">
            <x v="0"/>
          </reference>
          <reference field="18" count="1" selected="0">
            <x v="2"/>
          </reference>
        </references>
      </pivotArea>
    </chartFormat>
    <chartFormat chart="2" format="3" series="1">
      <pivotArea type="data" outline="0" fieldPosition="0">
        <references count="2">
          <reference field="4294967294" count="1" selected="0">
            <x v="0"/>
          </reference>
          <reference field="18" count="1" selected="0">
            <x v="3"/>
          </reference>
        </references>
      </pivotArea>
    </chartFormat>
    <chartFormat chart="8" format="8" series="1">
      <pivotArea type="data" outline="0" fieldPosition="0">
        <references count="2">
          <reference field="4294967294" count="1" selected="0">
            <x v="0"/>
          </reference>
          <reference field="18" count="1" selected="0">
            <x v="0"/>
          </reference>
        </references>
      </pivotArea>
    </chartFormat>
    <chartFormat chart="8" format="9" series="1">
      <pivotArea type="data" outline="0" fieldPosition="0">
        <references count="2">
          <reference field="4294967294" count="1" selected="0">
            <x v="0"/>
          </reference>
          <reference field="18" count="1" selected="0">
            <x v="1"/>
          </reference>
        </references>
      </pivotArea>
    </chartFormat>
    <chartFormat chart="8" format="10" series="1">
      <pivotArea type="data" outline="0" fieldPosition="0">
        <references count="2">
          <reference field="4294967294" count="1" selected="0">
            <x v="0"/>
          </reference>
          <reference field="18" count="1" selected="0">
            <x v="2"/>
          </reference>
        </references>
      </pivotArea>
    </chartFormat>
    <chartFormat chart="8" format="11"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7F9E4B-6AE9-4163-BC64-E01014A47FE6}"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venues" colHeaderCaption="Gender Labels">
  <location ref="A6:D12" firstHeaderRow="1" firstDataRow="2" firstDataCol="1"/>
  <pivotFields count="25">
    <pivotField axis="axisCol" dataField="1" showAll="0">
      <items count="3">
        <item x="0"/>
        <item x="1"/>
        <item t="default"/>
      </items>
    </pivotField>
    <pivotField showAll="0"/>
    <pivotField showAll="0">
      <items count="4">
        <item x="1"/>
        <item x="2"/>
        <item x="0"/>
        <item t="default"/>
      </items>
    </pivotField>
    <pivotField showAll="0"/>
    <pivotField numFmtId="166" showAll="0"/>
    <pivotField numFmtId="166" showAll="0"/>
    <pivotField numFmtId="166" showAll="0"/>
    <pivotField numFmtId="166" showAll="0"/>
    <pivotField numFmtId="166" showAll="0"/>
    <pivotField numFmtId="166" showAll="0"/>
    <pivotField numFmtId="166" showAll="0"/>
    <pivotField showAll="0"/>
    <pivotField showAll="0">
      <items count="4">
        <item x="1"/>
        <item x="0"/>
        <item x="2"/>
        <item t="default"/>
      </items>
    </pivotField>
    <pivotField showAll="0">
      <items count="4">
        <item x="0"/>
        <item x="2"/>
        <item x="1"/>
        <item t="default"/>
      </items>
    </pivotField>
    <pivotField showAll="0"/>
    <pivotField showAll="0"/>
    <pivotField showAll="0"/>
    <pivotField showAll="0"/>
    <pivotField axis="axisRow" showAll="0" sortType="descending">
      <items count="5">
        <item x="1"/>
        <item x="2"/>
        <item x="0"/>
        <item x="3"/>
        <item t="default"/>
      </items>
      <autoSortScope>
        <pivotArea dataOnly="0" outline="0" fieldPosition="0">
          <references count="2">
            <reference field="4294967294" count="1" selected="0">
              <x v="0"/>
            </reference>
            <reference field="0" count="1" selected="0">
              <x v="0"/>
            </reference>
          </references>
        </pivotArea>
      </autoSortScope>
    </pivotField>
    <pivotField showAll="0">
      <items count="4">
        <item x="2"/>
        <item x="1"/>
        <item x="0"/>
        <item t="default"/>
      </items>
    </pivotField>
    <pivotField showAll="0"/>
    <pivotField showAll="0"/>
    <pivotField showAll="0"/>
    <pivotField showAll="0"/>
    <pivotField showAll="0"/>
  </pivotFields>
  <rowFields count="1">
    <field x="18"/>
  </rowFields>
  <rowItems count="5">
    <i>
      <x v="2"/>
    </i>
    <i>
      <x/>
    </i>
    <i>
      <x v="1"/>
    </i>
    <i>
      <x v="3"/>
    </i>
    <i t="grand">
      <x/>
    </i>
  </rowItems>
  <colFields count="1">
    <field x="0"/>
  </colFields>
  <colItems count="3">
    <i>
      <x/>
    </i>
    <i>
      <x v="1"/>
    </i>
    <i t="grand">
      <x/>
    </i>
  </colItems>
  <dataFields count="1">
    <dataField name="Count of gender" fld="0"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91E3EA4-616B-4D9D-A717-416BA44B57AE}" sourceName="gender">
  <pivotTables>
    <pivotTable tabId="3" name="PivotTable5"/>
    <pivotTable tabId="3" name="PivotTable1"/>
    <pivotTable tabId="3" name="PivotTable2"/>
    <pivotTable tabId="3" name="PivotTable6"/>
    <pivotTable tabId="3" name="PivotTable7"/>
  </pivotTables>
  <data>
    <tabular pivotCacheId="15496622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CDE5089-DDAC-476B-929F-B3D4046F58AB}" sourceName="Age Group">
  <pivotTables>
    <pivotTable tabId="3" name="PivotTable5"/>
    <pivotTable tabId="3" name="PivotTable1"/>
    <pivotTable tabId="3" name="PivotTable2"/>
    <pivotTable tabId="3" name="PivotTable6"/>
    <pivotTable tabId="3" name="PivotTable7"/>
  </pivotTables>
  <data>
    <tabular pivotCacheId="154966226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vings_Obectives" xr10:uid="{5809E008-D411-4F10-B6DB-F7599AB3E30B}" sourceName="Savings Obectives">
  <pivotTables>
    <pivotTable tabId="3" name="PivotTable7"/>
    <pivotTable tabId="3" name="PivotTable1"/>
    <pivotTable tabId="3" name="PivotTable2"/>
    <pivotTable tabId="3" name="PivotTable5"/>
    <pivotTable tabId="3" name="PivotTable6"/>
  </pivotTables>
  <data>
    <tabular pivotCacheId="154966226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or" xr10:uid="{8A9D01F5-B56D-449E-B0D1-45C31CFA4800}" sourceName="Factor">
  <pivotTables>
    <pivotTable tabId="3" name="PivotTable7"/>
    <pivotTable tabId="3" name="PivotTable1"/>
    <pivotTable tabId="3" name="PivotTable2"/>
    <pivotTable tabId="3" name="PivotTable5"/>
    <pivotTable tabId="3" name="PivotTable6"/>
  </pivotTables>
  <data>
    <tabular pivotCacheId="154966226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8294B11-5717-4936-8FB1-5B551F188258}" cache="Slicer_gender" caption="Gender" style="SlicerStyleDark1" rowHeight="251883"/>
  <slicer name="Age Group" xr10:uid="{7EC112CE-6A5D-48AD-A676-2580D6738CB3}" cache="Slicer_Age_Group" caption="Age Group" style="SlicerStyleDark1" rowHeight="251883"/>
  <slicer name="Savings Obectives" xr10:uid="{615E85AA-15F0-47C9-9C1B-C6BBE9C52F34}" cache="Slicer_Savings_Obectives" caption="Savings Objectives" style="SlicerStyleDark1" rowHeight="251883"/>
  <slicer name="Factor" xr10:uid="{0B6FFEC5-08E8-4D1D-87B9-6D0D0BCCBFE4}" cache="Slicer_Factor" caption="Investment Driver"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541DD0-D52F-4DF3-BC93-8289BB6DDE13}" name="Table1" displayName="Table1" ref="A1:Y41" totalsRowShown="0">
  <autoFilter ref="A1:Y41" xr:uid="{7F541DD0-D52F-4DF3-BC93-8289BB6DDE13}"/>
  <tableColumns count="25">
    <tableColumn id="1" xr3:uid="{0A931AF8-D1B3-4DD1-BC04-986E1386D12A}" name="gender"/>
    <tableColumn id="2" xr3:uid="{79C23A03-2723-4835-9137-F9FED5639D9C}" name="age"/>
    <tableColumn id="25" xr3:uid="{7C0E4C82-95E1-4C1A-BA72-5FDBA5957ABD}" name="Age Group" dataDxfId="0">
      <calculatedColumnFormula>IF(AND(B2&gt;=21, B2&lt;=25), "Early Adulthood", IF(AND(B2&gt;=26, B2&lt;=30), "Established Adulthood", IF(AND(B2&gt;=31, B2&lt;=35), "Experienced Adulthood", "Other")))</calculatedColumnFormula>
    </tableColumn>
    <tableColumn id="3" xr3:uid="{34EFAAFF-9048-4E24-8B44-59096283957C}" name="Investment_Avenues"/>
    <tableColumn id="4" xr3:uid="{C7DD8A5D-C0FE-46D5-A379-D67D9E10123F}" name="Mutual_Funds" dataDxfId="7" dataCellStyle="Currency"/>
    <tableColumn id="5" xr3:uid="{5CEFFCD9-22DE-4A42-98D1-37B94206940C}" name="Equity_Market" dataDxfId="6" dataCellStyle="Currency"/>
    <tableColumn id="6" xr3:uid="{399E1168-3AAC-46B8-826B-74FFD7A5BDC7}" name="Debentures" dataDxfId="5" dataCellStyle="Currency"/>
    <tableColumn id="7" xr3:uid="{E6A3838F-CB64-41E9-8B77-0F11294B0779}" name="Government_Bonds" dataDxfId="4" dataCellStyle="Currency"/>
    <tableColumn id="8" xr3:uid="{2FC34978-7D09-4A92-8332-2D0AA7E79F16}" name="Fixed_Deposits" dataDxfId="3" dataCellStyle="Currency"/>
    <tableColumn id="9" xr3:uid="{02B66251-01F5-4E05-A9C8-BCA74DB81F53}" name="PPF" dataDxfId="2" dataCellStyle="Currency"/>
    <tableColumn id="10" xr3:uid="{E6018E99-913D-4074-96CB-0BCA9C0F2EA1}" name="Gold" dataDxfId="1" dataCellStyle="Currency"/>
    <tableColumn id="11" xr3:uid="{CB26C077-599A-472F-B388-9A30D8C4EF73}" name="Stock_Marktet"/>
    <tableColumn id="12" xr3:uid="{B935EFF8-017F-40DE-8BFC-796BCFEC983A}" name="Factor"/>
    <tableColumn id="13" xr3:uid="{CC44A11D-BE3E-4170-80AC-ADA0500004AD}" name="Objective"/>
    <tableColumn id="14" xr3:uid="{4FAB9852-D848-44AC-BC3A-15F8C1D98950}" name="Purpose"/>
    <tableColumn id="15" xr3:uid="{8BF9600A-F8E6-4393-A5CD-6ACC53235EEE}" name="Duration"/>
    <tableColumn id="16" xr3:uid="{3086E244-D6D4-4A5C-8289-8FD0153B489E}" name="Invest_Monitor"/>
    <tableColumn id="17" xr3:uid="{C6457084-80DD-40A4-B19A-71294EC2F71C}" name="Returns %"/>
    <tableColumn id="18" xr3:uid="{6851C0E6-5CC2-4B6C-8A39-56F01438B14E}" name="Avenue"/>
    <tableColumn id="19" xr3:uid="{DE99E44E-7095-451F-B11D-5029382A6606}" name="Savings Obectives"/>
    <tableColumn id="20" xr3:uid="{B3FD8674-DEBC-4ED1-A4FF-E1F4124A7A23}" name="Reason_Equity"/>
    <tableColumn id="21" xr3:uid="{BFA27834-B3DF-4460-A48C-AC1EE8CF6E29}" name="Reason_Mutual"/>
    <tableColumn id="22" xr3:uid="{28D74F19-4B45-40FE-A147-295A30143432}" name="Reason_Bonds"/>
    <tableColumn id="23" xr3:uid="{99F525D8-C933-4204-963B-0681FE617E0E}" name="Reason_FD"/>
    <tableColumn id="24" xr3:uid="{603DABDB-1E25-4DAB-9A4F-3326EE67C3F5}"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0CCA9-3CA2-4837-831D-58B0DDC22EDA}">
  <dimension ref="A1:Y41"/>
  <sheetViews>
    <sheetView topLeftCell="O1" workbookViewId="0">
      <selection activeCell="R2" sqref="R2"/>
    </sheetView>
  </sheetViews>
  <sheetFormatPr defaultRowHeight="14.5" x14ac:dyDescent="0.35"/>
  <cols>
    <col min="1" max="1" width="8.54296875" customWidth="1"/>
    <col min="2" max="2" width="5.7265625" customWidth="1"/>
    <col min="3" max="3" width="20.1796875" customWidth="1"/>
    <col min="4" max="10" width="14.6328125" style="1" customWidth="1"/>
    <col min="11" max="11" width="14.7265625" customWidth="1"/>
    <col min="12" max="12" width="12.54296875" bestFit="1" customWidth="1"/>
    <col min="13" max="13" width="17.453125" bestFit="1" customWidth="1"/>
    <col min="14" max="14" width="15.1796875" bestFit="1" customWidth="1"/>
    <col min="15" max="15" width="15.08984375" bestFit="1" customWidth="1"/>
    <col min="16" max="16" width="15.08984375" customWidth="1"/>
    <col min="17" max="17" width="8.54296875" bestFit="1" customWidth="1"/>
    <col min="18" max="18" width="18.36328125" bestFit="1" customWidth="1"/>
    <col min="19" max="19" width="30.7265625" customWidth="1"/>
    <col min="20" max="20" width="17.453125" bestFit="1" customWidth="1"/>
    <col min="21" max="21" width="17" bestFit="1" customWidth="1"/>
    <col min="22" max="22" width="15" customWidth="1"/>
    <col min="23" max="23" width="16.1796875" bestFit="1" customWidth="1"/>
    <col min="24" max="24" width="23.36328125" bestFit="1" customWidth="1"/>
    <col min="25" max="25" width="21.453125" customWidth="1"/>
  </cols>
  <sheetData>
    <row r="1" spans="1:25" x14ac:dyDescent="0.35">
      <c r="A1" t="s">
        <v>0</v>
      </c>
      <c r="B1" t="s">
        <v>1</v>
      </c>
      <c r="C1" t="s">
        <v>77</v>
      </c>
      <c r="D1" t="s">
        <v>2</v>
      </c>
      <c r="E1" s="1" t="s">
        <v>3</v>
      </c>
      <c r="F1" s="1" t="s">
        <v>4</v>
      </c>
      <c r="G1" s="1" t="s">
        <v>5</v>
      </c>
      <c r="H1" s="1" t="s">
        <v>6</v>
      </c>
      <c r="I1" s="1" t="s">
        <v>7</v>
      </c>
      <c r="J1" s="1" t="s">
        <v>8</v>
      </c>
      <c r="K1" s="1" t="s">
        <v>9</v>
      </c>
      <c r="L1" t="s">
        <v>10</v>
      </c>
      <c r="M1" t="s">
        <v>11</v>
      </c>
      <c r="N1" t="s">
        <v>12</v>
      </c>
      <c r="O1" t="s">
        <v>13</v>
      </c>
      <c r="P1" t="s">
        <v>14</v>
      </c>
      <c r="Q1" t="s">
        <v>15</v>
      </c>
      <c r="R1" t="s">
        <v>90</v>
      </c>
      <c r="S1" t="s">
        <v>16</v>
      </c>
      <c r="T1" t="s">
        <v>86</v>
      </c>
      <c r="U1" t="s">
        <v>17</v>
      </c>
      <c r="V1" t="s">
        <v>18</v>
      </c>
      <c r="W1" t="s">
        <v>19</v>
      </c>
      <c r="X1" t="s">
        <v>20</v>
      </c>
      <c r="Y1" t="s">
        <v>21</v>
      </c>
    </row>
    <row r="2" spans="1:25" x14ac:dyDescent="0.35">
      <c r="A2" t="s">
        <v>22</v>
      </c>
      <c r="B2">
        <v>34</v>
      </c>
      <c r="C2" t="str">
        <f t="shared" ref="C2:C41" si="0">IF(AND(B2&gt;=21, B2&lt;=25), "Early Adulthood", IF(AND(B2&gt;=26, B2&lt;=30), "Established Adulthood", IF(AND(B2&gt;=31, B2&lt;=35), "Experienced Adulthood", "Other")))</f>
        <v>Experienced Adulthood</v>
      </c>
      <c r="D2" t="s">
        <v>23</v>
      </c>
      <c r="E2" s="1">
        <v>1</v>
      </c>
      <c r="F2" s="1">
        <v>2</v>
      </c>
      <c r="G2" s="1">
        <v>5</v>
      </c>
      <c r="H2" s="1">
        <v>3</v>
      </c>
      <c r="I2" s="1">
        <v>7</v>
      </c>
      <c r="J2" s="1">
        <v>6</v>
      </c>
      <c r="K2" s="1">
        <v>4</v>
      </c>
      <c r="L2" t="s">
        <v>23</v>
      </c>
      <c r="M2" t="s">
        <v>24</v>
      </c>
      <c r="N2" t="s">
        <v>25</v>
      </c>
      <c r="O2" t="s">
        <v>26</v>
      </c>
      <c r="P2" t="s">
        <v>27</v>
      </c>
      <c r="Q2" t="s">
        <v>28</v>
      </c>
      <c r="R2" t="s">
        <v>29</v>
      </c>
      <c r="S2" t="s">
        <v>30</v>
      </c>
      <c r="T2" t="s">
        <v>31</v>
      </c>
      <c r="U2" t="s">
        <v>25</v>
      </c>
      <c r="V2" t="s">
        <v>32</v>
      </c>
      <c r="W2" t="s">
        <v>33</v>
      </c>
      <c r="X2" t="s">
        <v>34</v>
      </c>
      <c r="Y2" t="s">
        <v>35</v>
      </c>
    </row>
    <row r="3" spans="1:25" x14ac:dyDescent="0.35">
      <c r="A3" t="s">
        <v>22</v>
      </c>
      <c r="B3">
        <v>23</v>
      </c>
      <c r="C3" t="str">
        <f t="shared" si="0"/>
        <v>Early Adulthood</v>
      </c>
      <c r="D3" t="s">
        <v>23</v>
      </c>
      <c r="E3" s="1">
        <v>4</v>
      </c>
      <c r="F3" s="1">
        <v>3</v>
      </c>
      <c r="G3" s="1">
        <v>2</v>
      </c>
      <c r="H3" s="1">
        <v>1</v>
      </c>
      <c r="I3" s="1">
        <v>5</v>
      </c>
      <c r="J3" s="1">
        <v>6</v>
      </c>
      <c r="K3" s="1">
        <v>7</v>
      </c>
      <c r="L3" t="s">
        <v>36</v>
      </c>
      <c r="M3" t="s">
        <v>37</v>
      </c>
      <c r="N3" t="s">
        <v>25</v>
      </c>
      <c r="O3" t="s">
        <v>26</v>
      </c>
      <c r="P3" t="s">
        <v>38</v>
      </c>
      <c r="Q3" t="s">
        <v>39</v>
      </c>
      <c r="R3" t="s">
        <v>29</v>
      </c>
      <c r="S3" t="s">
        <v>30</v>
      </c>
      <c r="T3" t="s">
        <v>40</v>
      </c>
      <c r="U3" t="s">
        <v>41</v>
      </c>
      <c r="V3" t="s">
        <v>32</v>
      </c>
      <c r="W3" t="s">
        <v>33</v>
      </c>
      <c r="X3" t="s">
        <v>42</v>
      </c>
      <c r="Y3" t="s">
        <v>43</v>
      </c>
    </row>
    <row r="4" spans="1:25" x14ac:dyDescent="0.35">
      <c r="A4" t="s">
        <v>44</v>
      </c>
      <c r="B4">
        <v>30</v>
      </c>
      <c r="C4" t="str">
        <f t="shared" si="0"/>
        <v>Established Adulthood</v>
      </c>
      <c r="D4" t="s">
        <v>23</v>
      </c>
      <c r="E4" s="1">
        <v>3</v>
      </c>
      <c r="F4" s="1">
        <v>6</v>
      </c>
      <c r="G4" s="1">
        <v>4</v>
      </c>
      <c r="H4" s="1">
        <v>2</v>
      </c>
      <c r="I4" s="1">
        <v>5</v>
      </c>
      <c r="J4" s="1">
        <v>1</v>
      </c>
      <c r="K4" s="1">
        <v>7</v>
      </c>
      <c r="L4" t="s">
        <v>23</v>
      </c>
      <c r="M4" t="s">
        <v>24</v>
      </c>
      <c r="N4" t="s">
        <v>25</v>
      </c>
      <c r="O4" t="s">
        <v>26</v>
      </c>
      <c r="P4" t="s">
        <v>45</v>
      </c>
      <c r="Q4" t="s">
        <v>46</v>
      </c>
      <c r="R4" t="s">
        <v>29</v>
      </c>
      <c r="S4" t="s">
        <v>47</v>
      </c>
      <c r="T4" t="s">
        <v>31</v>
      </c>
      <c r="U4" t="s">
        <v>25</v>
      </c>
      <c r="V4" t="s">
        <v>48</v>
      </c>
      <c r="W4" t="s">
        <v>49</v>
      </c>
      <c r="X4" t="s">
        <v>34</v>
      </c>
      <c r="Y4" t="s">
        <v>50</v>
      </c>
    </row>
    <row r="5" spans="1:25" x14ac:dyDescent="0.35">
      <c r="A5" t="s">
        <v>44</v>
      </c>
      <c r="B5">
        <v>22</v>
      </c>
      <c r="C5" t="str">
        <f t="shared" si="0"/>
        <v>Early Adulthood</v>
      </c>
      <c r="D5" t="s">
        <v>23</v>
      </c>
      <c r="E5" s="1">
        <v>2</v>
      </c>
      <c r="F5" s="1">
        <v>1</v>
      </c>
      <c r="G5" s="1">
        <v>3</v>
      </c>
      <c r="H5" s="1">
        <v>7</v>
      </c>
      <c r="I5" s="1">
        <v>6</v>
      </c>
      <c r="J5" s="1">
        <v>4</v>
      </c>
      <c r="K5" s="1">
        <v>5</v>
      </c>
      <c r="L5" t="s">
        <v>23</v>
      </c>
      <c r="M5" t="s">
        <v>24</v>
      </c>
      <c r="N5" t="s">
        <v>51</v>
      </c>
      <c r="O5" t="s">
        <v>26</v>
      </c>
      <c r="P5" t="s">
        <v>52</v>
      </c>
      <c r="Q5" t="s">
        <v>46</v>
      </c>
      <c r="R5" t="s">
        <v>53</v>
      </c>
      <c r="S5" t="s">
        <v>47</v>
      </c>
      <c r="T5" t="s">
        <v>31</v>
      </c>
      <c r="U5" t="s">
        <v>41</v>
      </c>
      <c r="V5" t="s">
        <v>54</v>
      </c>
      <c r="W5" t="s">
        <v>55</v>
      </c>
      <c r="X5" t="s">
        <v>42</v>
      </c>
      <c r="Y5" t="s">
        <v>56</v>
      </c>
    </row>
    <row r="6" spans="1:25" x14ac:dyDescent="0.35">
      <c r="A6" t="s">
        <v>22</v>
      </c>
      <c r="B6">
        <v>24</v>
      </c>
      <c r="C6" t="str">
        <f t="shared" si="0"/>
        <v>Early Adulthood</v>
      </c>
      <c r="D6" t="s">
        <v>36</v>
      </c>
      <c r="E6" s="1">
        <v>2</v>
      </c>
      <c r="F6" s="1">
        <v>1</v>
      </c>
      <c r="G6" s="1">
        <v>3</v>
      </c>
      <c r="H6" s="1">
        <v>6</v>
      </c>
      <c r="I6" s="1">
        <v>4</v>
      </c>
      <c r="J6" s="1">
        <v>5</v>
      </c>
      <c r="K6" s="1">
        <v>7</v>
      </c>
      <c r="L6" t="s">
        <v>36</v>
      </c>
      <c r="M6" t="s">
        <v>24</v>
      </c>
      <c r="N6" t="s">
        <v>51</v>
      </c>
      <c r="O6" t="s">
        <v>26</v>
      </c>
      <c r="P6" t="s">
        <v>52</v>
      </c>
      <c r="Q6" t="s">
        <v>46</v>
      </c>
      <c r="R6" t="s">
        <v>29</v>
      </c>
      <c r="S6" t="s">
        <v>47</v>
      </c>
      <c r="T6" t="s">
        <v>31</v>
      </c>
      <c r="U6" t="s">
        <v>25</v>
      </c>
      <c r="V6" t="s">
        <v>32</v>
      </c>
      <c r="W6" t="s">
        <v>33</v>
      </c>
      <c r="X6" t="s">
        <v>57</v>
      </c>
      <c r="Y6" t="s">
        <v>56</v>
      </c>
    </row>
    <row r="7" spans="1:25" x14ac:dyDescent="0.35">
      <c r="A7" t="s">
        <v>22</v>
      </c>
      <c r="B7">
        <v>24</v>
      </c>
      <c r="C7" t="str">
        <f t="shared" si="0"/>
        <v>Early Adulthood</v>
      </c>
      <c r="D7" t="s">
        <v>36</v>
      </c>
      <c r="E7" s="1">
        <v>7</v>
      </c>
      <c r="F7" s="1">
        <v>5</v>
      </c>
      <c r="G7" s="1">
        <v>4</v>
      </c>
      <c r="H7" s="1">
        <v>6</v>
      </c>
      <c r="I7" s="1">
        <v>3</v>
      </c>
      <c r="J7" s="1">
        <v>1</v>
      </c>
      <c r="K7" s="1">
        <v>2</v>
      </c>
      <c r="L7" t="s">
        <v>36</v>
      </c>
      <c r="M7" t="s">
        <v>58</v>
      </c>
      <c r="N7" t="s">
        <v>25</v>
      </c>
      <c r="O7" t="s">
        <v>26</v>
      </c>
      <c r="P7" t="s">
        <v>27</v>
      </c>
      <c r="Q7" t="s">
        <v>46</v>
      </c>
      <c r="R7" t="s">
        <v>59</v>
      </c>
      <c r="S7" t="s">
        <v>30</v>
      </c>
      <c r="T7" t="s">
        <v>31</v>
      </c>
      <c r="U7" t="s">
        <v>60</v>
      </c>
      <c r="V7" t="s">
        <v>54</v>
      </c>
      <c r="W7" t="s">
        <v>33</v>
      </c>
      <c r="X7" t="s">
        <v>57</v>
      </c>
      <c r="Y7" t="s">
        <v>56</v>
      </c>
    </row>
    <row r="8" spans="1:25" x14ac:dyDescent="0.35">
      <c r="A8" t="s">
        <v>22</v>
      </c>
      <c r="B8">
        <v>27</v>
      </c>
      <c r="C8" t="str">
        <f t="shared" si="0"/>
        <v>Established Adulthood</v>
      </c>
      <c r="D8" t="s">
        <v>23</v>
      </c>
      <c r="E8" s="1">
        <v>3</v>
      </c>
      <c r="F8" s="1">
        <v>6</v>
      </c>
      <c r="G8" s="1">
        <v>4</v>
      </c>
      <c r="H8" s="1">
        <v>2</v>
      </c>
      <c r="I8" s="1">
        <v>5</v>
      </c>
      <c r="J8" s="1">
        <v>1</v>
      </c>
      <c r="K8" s="1">
        <v>7</v>
      </c>
      <c r="L8" t="s">
        <v>23</v>
      </c>
      <c r="M8" t="s">
        <v>24</v>
      </c>
      <c r="N8" t="s">
        <v>25</v>
      </c>
      <c r="O8" t="s">
        <v>26</v>
      </c>
      <c r="P8" t="s">
        <v>45</v>
      </c>
      <c r="Q8" t="s">
        <v>28</v>
      </c>
      <c r="R8" t="s">
        <v>29</v>
      </c>
      <c r="S8" t="s">
        <v>47</v>
      </c>
      <c r="T8" t="s">
        <v>31</v>
      </c>
      <c r="U8" t="s">
        <v>25</v>
      </c>
      <c r="V8" t="s">
        <v>32</v>
      </c>
      <c r="W8" t="s">
        <v>49</v>
      </c>
      <c r="X8" t="s">
        <v>42</v>
      </c>
      <c r="Y8" t="s">
        <v>43</v>
      </c>
    </row>
    <row r="9" spans="1:25" x14ac:dyDescent="0.35">
      <c r="A9" t="s">
        <v>44</v>
      </c>
      <c r="B9">
        <v>21</v>
      </c>
      <c r="C9" t="str">
        <f t="shared" si="0"/>
        <v>Early Adulthood</v>
      </c>
      <c r="D9" t="s">
        <v>23</v>
      </c>
      <c r="E9" s="1">
        <v>2</v>
      </c>
      <c r="F9" s="1">
        <v>3</v>
      </c>
      <c r="G9" s="1">
        <v>7</v>
      </c>
      <c r="H9" s="1">
        <v>4</v>
      </c>
      <c r="I9" s="1">
        <v>6</v>
      </c>
      <c r="J9" s="1">
        <v>1</v>
      </c>
      <c r="K9" s="1">
        <v>5</v>
      </c>
      <c r="L9" t="s">
        <v>23</v>
      </c>
      <c r="M9" t="s">
        <v>58</v>
      </c>
      <c r="N9" t="s">
        <v>25</v>
      </c>
      <c r="O9" t="s">
        <v>26</v>
      </c>
      <c r="P9" t="s">
        <v>45</v>
      </c>
      <c r="Q9" t="s">
        <v>28</v>
      </c>
      <c r="R9" t="s">
        <v>29</v>
      </c>
      <c r="S9" t="s">
        <v>30</v>
      </c>
      <c r="T9" t="s">
        <v>31</v>
      </c>
      <c r="U9" t="s">
        <v>25</v>
      </c>
      <c r="V9" t="s">
        <v>32</v>
      </c>
      <c r="W9" t="s">
        <v>49</v>
      </c>
      <c r="X9" t="s">
        <v>57</v>
      </c>
      <c r="Y9" t="s">
        <v>35</v>
      </c>
    </row>
    <row r="10" spans="1:25" x14ac:dyDescent="0.35">
      <c r="A10" t="s">
        <v>44</v>
      </c>
      <c r="B10">
        <v>35</v>
      </c>
      <c r="C10" t="str">
        <f t="shared" si="0"/>
        <v>Experienced Adulthood</v>
      </c>
      <c r="D10" t="s">
        <v>23</v>
      </c>
      <c r="E10" s="1">
        <v>2</v>
      </c>
      <c r="F10" s="1">
        <v>4</v>
      </c>
      <c r="G10" s="1">
        <v>7</v>
      </c>
      <c r="H10" s="1">
        <v>5</v>
      </c>
      <c r="I10" s="1">
        <v>3</v>
      </c>
      <c r="J10" s="1">
        <v>1</v>
      </c>
      <c r="K10" s="1">
        <v>6</v>
      </c>
      <c r="L10" t="s">
        <v>23</v>
      </c>
      <c r="M10" t="s">
        <v>24</v>
      </c>
      <c r="N10" t="s">
        <v>61</v>
      </c>
      <c r="O10" t="s">
        <v>62</v>
      </c>
      <c r="P10" t="s">
        <v>27</v>
      </c>
      <c r="Q10" t="s">
        <v>39</v>
      </c>
      <c r="R10" t="s">
        <v>29</v>
      </c>
      <c r="S10" t="s">
        <v>47</v>
      </c>
      <c r="T10" t="s">
        <v>31</v>
      </c>
      <c r="U10" t="s">
        <v>25</v>
      </c>
      <c r="V10" t="s">
        <v>54</v>
      </c>
      <c r="W10" t="s">
        <v>33</v>
      </c>
      <c r="X10" t="s">
        <v>34</v>
      </c>
      <c r="Y10" t="s">
        <v>50</v>
      </c>
    </row>
    <row r="11" spans="1:25" x14ac:dyDescent="0.35">
      <c r="A11" t="s">
        <v>44</v>
      </c>
      <c r="B11">
        <v>31</v>
      </c>
      <c r="C11" t="str">
        <f t="shared" si="0"/>
        <v>Experienced Adulthood</v>
      </c>
      <c r="D11" t="s">
        <v>23</v>
      </c>
      <c r="E11" s="1">
        <v>1</v>
      </c>
      <c r="F11" s="1">
        <v>3</v>
      </c>
      <c r="G11" s="1">
        <v>7</v>
      </c>
      <c r="H11" s="1">
        <v>4</v>
      </c>
      <c r="I11" s="1">
        <v>5</v>
      </c>
      <c r="J11" s="1">
        <v>2</v>
      </c>
      <c r="K11" s="1">
        <v>6</v>
      </c>
      <c r="L11" t="s">
        <v>23</v>
      </c>
      <c r="M11" t="s">
        <v>24</v>
      </c>
      <c r="N11" t="s">
        <v>25</v>
      </c>
      <c r="O11" t="s">
        <v>26</v>
      </c>
      <c r="P11" t="s">
        <v>45</v>
      </c>
      <c r="Q11" t="s">
        <v>28</v>
      </c>
      <c r="R11" t="s">
        <v>59</v>
      </c>
      <c r="S11" t="s">
        <v>63</v>
      </c>
      <c r="T11" t="s">
        <v>31</v>
      </c>
      <c r="U11" t="s">
        <v>25</v>
      </c>
      <c r="V11" t="s">
        <v>54</v>
      </c>
      <c r="W11" t="s">
        <v>49</v>
      </c>
      <c r="X11" t="s">
        <v>34</v>
      </c>
      <c r="Y11" t="s">
        <v>35</v>
      </c>
    </row>
    <row r="12" spans="1:25" x14ac:dyDescent="0.35">
      <c r="A12" t="s">
        <v>22</v>
      </c>
      <c r="B12">
        <v>35</v>
      </c>
      <c r="C12" t="str">
        <f t="shared" si="0"/>
        <v>Experienced Adulthood</v>
      </c>
      <c r="D12" t="s">
        <v>23</v>
      </c>
      <c r="E12" s="1">
        <v>2</v>
      </c>
      <c r="F12" s="1">
        <v>4</v>
      </c>
      <c r="G12" s="1">
        <v>7</v>
      </c>
      <c r="H12" s="1">
        <v>5</v>
      </c>
      <c r="I12" s="1">
        <v>3</v>
      </c>
      <c r="J12" s="1">
        <v>1</v>
      </c>
      <c r="K12" s="1">
        <v>6</v>
      </c>
      <c r="L12" t="s">
        <v>23</v>
      </c>
      <c r="M12" t="s">
        <v>58</v>
      </c>
      <c r="N12" t="s">
        <v>61</v>
      </c>
      <c r="O12" t="s">
        <v>62</v>
      </c>
      <c r="P12" t="s">
        <v>45</v>
      </c>
      <c r="Q12" t="s">
        <v>28</v>
      </c>
      <c r="R12" t="s">
        <v>29</v>
      </c>
      <c r="S12" t="s">
        <v>30</v>
      </c>
      <c r="T12" t="s">
        <v>31</v>
      </c>
      <c r="U12" t="s">
        <v>25</v>
      </c>
      <c r="V12" t="s">
        <v>32</v>
      </c>
      <c r="W12" t="s">
        <v>49</v>
      </c>
      <c r="X12" t="s">
        <v>57</v>
      </c>
      <c r="Y12" t="s">
        <v>43</v>
      </c>
    </row>
    <row r="13" spans="1:25" x14ac:dyDescent="0.35">
      <c r="A13" t="s">
        <v>44</v>
      </c>
      <c r="B13">
        <v>29</v>
      </c>
      <c r="C13" t="str">
        <f t="shared" si="0"/>
        <v>Established Adulthood</v>
      </c>
      <c r="D13" t="s">
        <v>23</v>
      </c>
      <c r="E13" s="1">
        <v>2</v>
      </c>
      <c r="F13" s="1">
        <v>5</v>
      </c>
      <c r="G13" s="1">
        <v>7</v>
      </c>
      <c r="H13" s="1">
        <v>6</v>
      </c>
      <c r="I13" s="1">
        <v>3</v>
      </c>
      <c r="J13" s="1">
        <v>1</v>
      </c>
      <c r="K13" s="1">
        <v>4</v>
      </c>
      <c r="L13" t="s">
        <v>23</v>
      </c>
      <c r="M13" t="s">
        <v>58</v>
      </c>
      <c r="N13" t="s">
        <v>25</v>
      </c>
      <c r="O13" t="s">
        <v>26</v>
      </c>
      <c r="P13" t="s">
        <v>27</v>
      </c>
      <c r="Q13" t="s">
        <v>28</v>
      </c>
      <c r="R13" t="s">
        <v>29</v>
      </c>
      <c r="S13" t="s">
        <v>30</v>
      </c>
      <c r="T13" t="s">
        <v>31</v>
      </c>
      <c r="U13" t="s">
        <v>25</v>
      </c>
      <c r="V13" t="s">
        <v>54</v>
      </c>
      <c r="W13" t="s">
        <v>49</v>
      </c>
      <c r="X13" t="s">
        <v>34</v>
      </c>
      <c r="Y13" t="s">
        <v>43</v>
      </c>
    </row>
    <row r="14" spans="1:25" x14ac:dyDescent="0.35">
      <c r="A14" t="s">
        <v>22</v>
      </c>
      <c r="B14">
        <v>21</v>
      </c>
      <c r="C14" t="str">
        <f t="shared" si="0"/>
        <v>Early Adulthood</v>
      </c>
      <c r="D14" t="s">
        <v>36</v>
      </c>
      <c r="E14" s="1">
        <v>1</v>
      </c>
      <c r="F14" s="1">
        <v>2</v>
      </c>
      <c r="G14" s="1">
        <v>3</v>
      </c>
      <c r="H14" s="1">
        <v>4</v>
      </c>
      <c r="I14" s="1">
        <v>5</v>
      </c>
      <c r="J14" s="1">
        <v>6</v>
      </c>
      <c r="K14" s="1">
        <v>7</v>
      </c>
      <c r="L14" t="s">
        <v>36</v>
      </c>
      <c r="M14" t="s">
        <v>24</v>
      </c>
      <c r="N14" t="s">
        <v>25</v>
      </c>
      <c r="O14" t="s">
        <v>62</v>
      </c>
      <c r="P14" t="s">
        <v>27</v>
      </c>
      <c r="Q14" t="s">
        <v>39</v>
      </c>
      <c r="R14" t="s">
        <v>29</v>
      </c>
      <c r="S14" t="s">
        <v>30</v>
      </c>
      <c r="T14" t="s">
        <v>64</v>
      </c>
      <c r="U14" t="s">
        <v>41</v>
      </c>
      <c r="V14" t="s">
        <v>32</v>
      </c>
      <c r="W14" t="s">
        <v>33</v>
      </c>
      <c r="X14" t="s">
        <v>57</v>
      </c>
      <c r="Y14" t="s">
        <v>56</v>
      </c>
    </row>
    <row r="15" spans="1:25" x14ac:dyDescent="0.35">
      <c r="A15" t="s">
        <v>22</v>
      </c>
      <c r="B15">
        <v>28</v>
      </c>
      <c r="C15" t="str">
        <f t="shared" si="0"/>
        <v>Established Adulthood</v>
      </c>
      <c r="D15" t="s">
        <v>23</v>
      </c>
      <c r="E15" s="1">
        <v>2</v>
      </c>
      <c r="F15" s="1">
        <v>3</v>
      </c>
      <c r="G15" s="1">
        <v>7</v>
      </c>
      <c r="H15" s="1">
        <v>4</v>
      </c>
      <c r="I15" s="1">
        <v>5</v>
      </c>
      <c r="J15" s="1">
        <v>1</v>
      </c>
      <c r="K15" s="1">
        <v>6</v>
      </c>
      <c r="L15" t="s">
        <v>23</v>
      </c>
      <c r="M15" t="s">
        <v>24</v>
      </c>
      <c r="N15" t="s">
        <v>25</v>
      </c>
      <c r="O15" t="s">
        <v>26</v>
      </c>
      <c r="P15" t="s">
        <v>27</v>
      </c>
      <c r="Q15" t="s">
        <v>28</v>
      </c>
      <c r="R15" t="s">
        <v>29</v>
      </c>
      <c r="S15" t="s">
        <v>30</v>
      </c>
      <c r="T15" t="s">
        <v>31</v>
      </c>
      <c r="U15" t="s">
        <v>25</v>
      </c>
      <c r="V15" t="s">
        <v>54</v>
      </c>
      <c r="W15" t="s">
        <v>49</v>
      </c>
      <c r="X15" t="s">
        <v>57</v>
      </c>
      <c r="Y15" t="s">
        <v>35</v>
      </c>
    </row>
    <row r="16" spans="1:25" x14ac:dyDescent="0.35">
      <c r="A16" t="s">
        <v>22</v>
      </c>
      <c r="B16">
        <v>25</v>
      </c>
      <c r="C16" t="str">
        <f t="shared" si="0"/>
        <v>Early Adulthood</v>
      </c>
      <c r="D16" t="s">
        <v>23</v>
      </c>
      <c r="E16" s="1">
        <v>2</v>
      </c>
      <c r="F16" s="1">
        <v>3</v>
      </c>
      <c r="G16" s="1">
        <v>7</v>
      </c>
      <c r="H16" s="1">
        <v>5</v>
      </c>
      <c r="I16" s="1">
        <v>4</v>
      </c>
      <c r="J16" s="1">
        <v>1</v>
      </c>
      <c r="K16" s="1">
        <v>6</v>
      </c>
      <c r="L16" t="s">
        <v>23</v>
      </c>
      <c r="M16" t="s">
        <v>24</v>
      </c>
      <c r="N16" t="s">
        <v>25</v>
      </c>
      <c r="O16" t="s">
        <v>26</v>
      </c>
      <c r="P16" t="s">
        <v>27</v>
      </c>
      <c r="Q16" t="s">
        <v>28</v>
      </c>
      <c r="R16" t="s">
        <v>29</v>
      </c>
      <c r="S16" t="s">
        <v>63</v>
      </c>
      <c r="T16" t="s">
        <v>40</v>
      </c>
      <c r="U16" t="s">
        <v>41</v>
      </c>
      <c r="V16" t="s">
        <v>32</v>
      </c>
      <c r="W16" t="s">
        <v>49</v>
      </c>
      <c r="X16" t="s">
        <v>57</v>
      </c>
      <c r="Y16" t="s">
        <v>43</v>
      </c>
    </row>
    <row r="17" spans="1:25" x14ac:dyDescent="0.35">
      <c r="A17" t="s">
        <v>44</v>
      </c>
      <c r="B17">
        <v>27</v>
      </c>
      <c r="C17" t="str">
        <f t="shared" si="0"/>
        <v>Established Adulthood</v>
      </c>
      <c r="D17" t="s">
        <v>23</v>
      </c>
      <c r="E17" s="1">
        <v>2</v>
      </c>
      <c r="F17" s="1">
        <v>3</v>
      </c>
      <c r="G17" s="1">
        <v>7</v>
      </c>
      <c r="H17" s="1">
        <v>5</v>
      </c>
      <c r="I17" s="1">
        <v>4</v>
      </c>
      <c r="J17" s="1">
        <v>1</v>
      </c>
      <c r="K17" s="1">
        <v>6</v>
      </c>
      <c r="L17" t="s">
        <v>23</v>
      </c>
      <c r="M17" t="s">
        <v>24</v>
      </c>
      <c r="N17" t="s">
        <v>25</v>
      </c>
      <c r="O17" t="s">
        <v>26</v>
      </c>
      <c r="P17" t="s">
        <v>27</v>
      </c>
      <c r="Q17" t="s">
        <v>28</v>
      </c>
      <c r="R17" t="s">
        <v>29</v>
      </c>
      <c r="S17" t="s">
        <v>30</v>
      </c>
      <c r="T17" t="s">
        <v>40</v>
      </c>
      <c r="U17" t="s">
        <v>25</v>
      </c>
      <c r="V17" t="s">
        <v>54</v>
      </c>
      <c r="W17" t="s">
        <v>49</v>
      </c>
      <c r="X17" t="s">
        <v>57</v>
      </c>
      <c r="Y17" t="s">
        <v>35</v>
      </c>
    </row>
    <row r="18" spans="1:25" x14ac:dyDescent="0.35">
      <c r="A18" t="s">
        <v>22</v>
      </c>
      <c r="B18">
        <v>28</v>
      </c>
      <c r="C18" t="str">
        <f t="shared" si="0"/>
        <v>Established Adulthood</v>
      </c>
      <c r="D18" t="s">
        <v>23</v>
      </c>
      <c r="E18" s="1">
        <v>3</v>
      </c>
      <c r="F18" s="1">
        <v>2</v>
      </c>
      <c r="G18" s="1">
        <v>7</v>
      </c>
      <c r="H18" s="1">
        <v>5</v>
      </c>
      <c r="I18" s="1">
        <v>4</v>
      </c>
      <c r="J18" s="1">
        <v>1</v>
      </c>
      <c r="K18" s="1">
        <v>6</v>
      </c>
      <c r="L18" t="s">
        <v>23</v>
      </c>
      <c r="M18" t="s">
        <v>58</v>
      </c>
      <c r="N18" t="s">
        <v>61</v>
      </c>
      <c r="O18" t="s">
        <v>26</v>
      </c>
      <c r="P18" t="s">
        <v>27</v>
      </c>
      <c r="Q18" t="s">
        <v>28</v>
      </c>
      <c r="R18" t="s">
        <v>29</v>
      </c>
      <c r="S18" t="s">
        <v>63</v>
      </c>
      <c r="T18" t="s">
        <v>40</v>
      </c>
      <c r="U18" t="s">
        <v>25</v>
      </c>
      <c r="V18" t="s">
        <v>54</v>
      </c>
      <c r="W18" t="s">
        <v>49</v>
      </c>
      <c r="X18" t="s">
        <v>57</v>
      </c>
      <c r="Y18" t="s">
        <v>50</v>
      </c>
    </row>
    <row r="19" spans="1:25" x14ac:dyDescent="0.35">
      <c r="A19" t="s">
        <v>44</v>
      </c>
      <c r="B19">
        <v>27</v>
      </c>
      <c r="C19" t="str">
        <f t="shared" si="0"/>
        <v>Established Adulthood</v>
      </c>
      <c r="D19" t="s">
        <v>23</v>
      </c>
      <c r="E19" s="1">
        <v>3</v>
      </c>
      <c r="F19" s="1">
        <v>2</v>
      </c>
      <c r="G19" s="1">
        <v>7</v>
      </c>
      <c r="H19" s="1">
        <v>4</v>
      </c>
      <c r="I19" s="1">
        <v>5</v>
      </c>
      <c r="J19" s="1">
        <v>1</v>
      </c>
      <c r="K19" s="1">
        <v>6</v>
      </c>
      <c r="L19" t="s">
        <v>23</v>
      </c>
      <c r="M19" t="s">
        <v>24</v>
      </c>
      <c r="N19" t="s">
        <v>25</v>
      </c>
      <c r="O19" t="s">
        <v>26</v>
      </c>
      <c r="P19" t="s">
        <v>27</v>
      </c>
      <c r="Q19" t="s">
        <v>28</v>
      </c>
      <c r="R19" t="s">
        <v>29</v>
      </c>
      <c r="S19" t="s">
        <v>30</v>
      </c>
      <c r="T19" t="s">
        <v>31</v>
      </c>
      <c r="U19" t="s">
        <v>25</v>
      </c>
      <c r="V19" t="s">
        <v>32</v>
      </c>
      <c r="W19" t="s">
        <v>49</v>
      </c>
      <c r="X19" t="s">
        <v>57</v>
      </c>
      <c r="Y19" t="s">
        <v>43</v>
      </c>
    </row>
    <row r="20" spans="1:25" x14ac:dyDescent="0.35">
      <c r="A20" t="s">
        <v>44</v>
      </c>
      <c r="B20">
        <v>29</v>
      </c>
      <c r="C20" t="str">
        <f t="shared" si="0"/>
        <v>Established Adulthood</v>
      </c>
      <c r="D20" t="s">
        <v>23</v>
      </c>
      <c r="E20" s="1">
        <v>3</v>
      </c>
      <c r="F20" s="1">
        <v>2</v>
      </c>
      <c r="G20" s="1">
        <v>7</v>
      </c>
      <c r="H20" s="1">
        <v>4</v>
      </c>
      <c r="I20" s="1">
        <v>5</v>
      </c>
      <c r="J20" s="1">
        <v>1</v>
      </c>
      <c r="K20" s="1">
        <v>6</v>
      </c>
      <c r="L20" t="s">
        <v>23</v>
      </c>
      <c r="M20" t="s">
        <v>58</v>
      </c>
      <c r="N20" t="s">
        <v>25</v>
      </c>
      <c r="O20" t="s">
        <v>26</v>
      </c>
      <c r="P20" t="s">
        <v>27</v>
      </c>
      <c r="Q20" t="s">
        <v>28</v>
      </c>
      <c r="R20" t="s">
        <v>29</v>
      </c>
      <c r="S20" t="s">
        <v>30</v>
      </c>
      <c r="T20" t="s">
        <v>31</v>
      </c>
      <c r="U20" t="s">
        <v>25</v>
      </c>
      <c r="V20" t="s">
        <v>32</v>
      </c>
      <c r="W20" t="s">
        <v>49</v>
      </c>
      <c r="X20" t="s">
        <v>57</v>
      </c>
      <c r="Y20" t="s">
        <v>35</v>
      </c>
    </row>
    <row r="21" spans="1:25" x14ac:dyDescent="0.35">
      <c r="A21" t="s">
        <v>44</v>
      </c>
      <c r="B21">
        <v>26</v>
      </c>
      <c r="C21" t="str">
        <f t="shared" si="0"/>
        <v>Established Adulthood</v>
      </c>
      <c r="D21" t="s">
        <v>23</v>
      </c>
      <c r="E21" s="1">
        <v>3</v>
      </c>
      <c r="F21" s="1">
        <v>4</v>
      </c>
      <c r="G21" s="1">
        <v>6</v>
      </c>
      <c r="H21" s="1">
        <v>5</v>
      </c>
      <c r="I21" s="1">
        <v>1</v>
      </c>
      <c r="J21" s="1">
        <v>2</v>
      </c>
      <c r="K21" s="1">
        <v>7</v>
      </c>
      <c r="L21" t="s">
        <v>23</v>
      </c>
      <c r="M21" t="s">
        <v>58</v>
      </c>
      <c r="N21" t="s">
        <v>25</v>
      </c>
      <c r="O21" t="s">
        <v>26</v>
      </c>
      <c r="P21" t="s">
        <v>45</v>
      </c>
      <c r="Q21" t="s">
        <v>28</v>
      </c>
      <c r="R21" t="s">
        <v>29</v>
      </c>
      <c r="S21" t="s">
        <v>63</v>
      </c>
      <c r="T21" t="s">
        <v>40</v>
      </c>
      <c r="U21" t="s">
        <v>25</v>
      </c>
      <c r="V21" t="s">
        <v>54</v>
      </c>
      <c r="W21" t="s">
        <v>49</v>
      </c>
      <c r="X21" t="s">
        <v>57</v>
      </c>
      <c r="Y21" t="s">
        <v>35</v>
      </c>
    </row>
    <row r="22" spans="1:25" x14ac:dyDescent="0.35">
      <c r="A22" t="s">
        <v>44</v>
      </c>
      <c r="B22">
        <v>29</v>
      </c>
      <c r="C22" t="str">
        <f t="shared" si="0"/>
        <v>Established Adulthood</v>
      </c>
      <c r="D22" t="s">
        <v>23</v>
      </c>
      <c r="E22" s="1">
        <v>2</v>
      </c>
      <c r="F22" s="1">
        <v>4</v>
      </c>
      <c r="G22" s="1">
        <v>7</v>
      </c>
      <c r="H22" s="1">
        <v>5</v>
      </c>
      <c r="I22" s="1">
        <v>3</v>
      </c>
      <c r="J22" s="1">
        <v>1</v>
      </c>
      <c r="K22" s="1">
        <v>6</v>
      </c>
      <c r="L22" t="s">
        <v>23</v>
      </c>
      <c r="M22" t="s">
        <v>24</v>
      </c>
      <c r="N22" t="s">
        <v>61</v>
      </c>
      <c r="O22" t="s">
        <v>26</v>
      </c>
      <c r="P22" t="s">
        <v>45</v>
      </c>
      <c r="Q22" t="s">
        <v>39</v>
      </c>
      <c r="R22" t="s">
        <v>29</v>
      </c>
      <c r="S22" t="s">
        <v>30</v>
      </c>
      <c r="T22" t="s">
        <v>31</v>
      </c>
      <c r="U22" t="s">
        <v>25</v>
      </c>
      <c r="V22" t="s">
        <v>32</v>
      </c>
      <c r="W22" t="s">
        <v>49</v>
      </c>
      <c r="X22" t="s">
        <v>34</v>
      </c>
      <c r="Y22" t="s">
        <v>43</v>
      </c>
    </row>
    <row r="23" spans="1:25" x14ac:dyDescent="0.35">
      <c r="A23" t="s">
        <v>22</v>
      </c>
      <c r="B23">
        <v>24</v>
      </c>
      <c r="C23" t="str">
        <f t="shared" si="0"/>
        <v>Early Adulthood</v>
      </c>
      <c r="D23" t="s">
        <v>23</v>
      </c>
      <c r="E23" s="1">
        <v>2</v>
      </c>
      <c r="F23" s="1">
        <v>4</v>
      </c>
      <c r="G23" s="1">
        <v>5</v>
      </c>
      <c r="H23" s="1">
        <v>6</v>
      </c>
      <c r="I23" s="1">
        <v>3</v>
      </c>
      <c r="J23" s="1">
        <v>1</v>
      </c>
      <c r="K23" s="1">
        <v>7</v>
      </c>
      <c r="L23" t="s">
        <v>23</v>
      </c>
      <c r="M23" t="s">
        <v>58</v>
      </c>
      <c r="N23" t="s">
        <v>25</v>
      </c>
      <c r="O23" t="s">
        <v>26</v>
      </c>
      <c r="P23" t="s">
        <v>45</v>
      </c>
      <c r="Q23" t="s">
        <v>28</v>
      </c>
      <c r="R23" t="s">
        <v>29</v>
      </c>
      <c r="S23" t="s">
        <v>47</v>
      </c>
      <c r="T23" t="s">
        <v>40</v>
      </c>
      <c r="U23" t="s">
        <v>25</v>
      </c>
      <c r="V23" t="s">
        <v>32</v>
      </c>
      <c r="W23" t="s">
        <v>49</v>
      </c>
      <c r="X23" t="s">
        <v>57</v>
      </c>
      <c r="Y23" t="s">
        <v>35</v>
      </c>
    </row>
    <row r="24" spans="1:25" x14ac:dyDescent="0.35">
      <c r="A24" t="s">
        <v>44</v>
      </c>
      <c r="B24">
        <v>27</v>
      </c>
      <c r="C24" t="str">
        <f t="shared" si="0"/>
        <v>Established Adulthood</v>
      </c>
      <c r="D24" t="s">
        <v>23</v>
      </c>
      <c r="E24" s="1">
        <v>3</v>
      </c>
      <c r="F24" s="1">
        <v>4</v>
      </c>
      <c r="G24" s="1">
        <v>6</v>
      </c>
      <c r="H24" s="1">
        <v>5</v>
      </c>
      <c r="I24" s="1">
        <v>2</v>
      </c>
      <c r="J24" s="1">
        <v>1</v>
      </c>
      <c r="K24" s="1">
        <v>7</v>
      </c>
      <c r="L24" t="s">
        <v>23</v>
      </c>
      <c r="M24" t="s">
        <v>24</v>
      </c>
      <c r="N24" t="s">
        <v>25</v>
      </c>
      <c r="O24" t="s">
        <v>26</v>
      </c>
      <c r="P24" t="s">
        <v>45</v>
      </c>
      <c r="Q24" t="s">
        <v>28</v>
      </c>
      <c r="R24" t="s">
        <v>29</v>
      </c>
      <c r="S24" t="s">
        <v>30</v>
      </c>
      <c r="T24" t="s">
        <v>31</v>
      </c>
      <c r="U24" t="s">
        <v>25</v>
      </c>
      <c r="V24" t="s">
        <v>32</v>
      </c>
      <c r="W24" t="s">
        <v>49</v>
      </c>
      <c r="X24" t="s">
        <v>57</v>
      </c>
      <c r="Y24" t="s">
        <v>43</v>
      </c>
    </row>
    <row r="25" spans="1:25" x14ac:dyDescent="0.35">
      <c r="A25" t="s">
        <v>44</v>
      </c>
      <c r="B25">
        <v>25</v>
      </c>
      <c r="C25" t="str">
        <f t="shared" si="0"/>
        <v>Early Adulthood</v>
      </c>
      <c r="D25" t="s">
        <v>23</v>
      </c>
      <c r="E25" s="1">
        <v>2</v>
      </c>
      <c r="F25" s="1">
        <v>4</v>
      </c>
      <c r="G25" s="1">
        <v>6</v>
      </c>
      <c r="H25" s="1">
        <v>5</v>
      </c>
      <c r="I25" s="1">
        <v>3</v>
      </c>
      <c r="J25" s="1">
        <v>1</v>
      </c>
      <c r="K25" s="1">
        <v>7</v>
      </c>
      <c r="L25" t="s">
        <v>23</v>
      </c>
      <c r="M25" t="s">
        <v>58</v>
      </c>
      <c r="N25" t="s">
        <v>61</v>
      </c>
      <c r="O25" t="s">
        <v>62</v>
      </c>
      <c r="P25" t="s">
        <v>45</v>
      </c>
      <c r="Q25" t="s">
        <v>39</v>
      </c>
      <c r="R25" t="s">
        <v>29</v>
      </c>
      <c r="S25" t="s">
        <v>65</v>
      </c>
      <c r="T25" t="s">
        <v>40</v>
      </c>
      <c r="U25" t="s">
        <v>60</v>
      </c>
      <c r="V25" t="s">
        <v>32</v>
      </c>
      <c r="W25" t="s">
        <v>49</v>
      </c>
      <c r="X25" t="s">
        <v>57</v>
      </c>
      <c r="Y25" t="s">
        <v>43</v>
      </c>
    </row>
    <row r="26" spans="1:25" x14ac:dyDescent="0.35">
      <c r="A26" t="s">
        <v>22</v>
      </c>
      <c r="B26">
        <v>26</v>
      </c>
      <c r="C26" t="str">
        <f t="shared" si="0"/>
        <v>Established Adulthood</v>
      </c>
      <c r="D26" t="s">
        <v>23</v>
      </c>
      <c r="E26" s="1">
        <v>2</v>
      </c>
      <c r="F26" s="1">
        <v>3</v>
      </c>
      <c r="G26" s="1">
        <v>7</v>
      </c>
      <c r="H26" s="1">
        <v>5</v>
      </c>
      <c r="I26" s="1">
        <v>4</v>
      </c>
      <c r="J26" s="1">
        <v>1</v>
      </c>
      <c r="K26" s="1">
        <v>6</v>
      </c>
      <c r="L26" t="s">
        <v>23</v>
      </c>
      <c r="M26" t="s">
        <v>24</v>
      </c>
      <c r="N26" t="s">
        <v>25</v>
      </c>
      <c r="O26" t="s">
        <v>26</v>
      </c>
      <c r="P26" t="s">
        <v>45</v>
      </c>
      <c r="Q26" t="s">
        <v>28</v>
      </c>
      <c r="R26" t="s">
        <v>59</v>
      </c>
      <c r="S26" t="s">
        <v>65</v>
      </c>
      <c r="T26" t="s">
        <v>31</v>
      </c>
      <c r="U26" t="s">
        <v>25</v>
      </c>
      <c r="V26" t="s">
        <v>32</v>
      </c>
      <c r="W26" t="s">
        <v>49</v>
      </c>
      <c r="X26" t="s">
        <v>57</v>
      </c>
      <c r="Y26" t="s">
        <v>35</v>
      </c>
    </row>
    <row r="27" spans="1:25" x14ac:dyDescent="0.35">
      <c r="A27" t="s">
        <v>22</v>
      </c>
      <c r="B27">
        <v>32</v>
      </c>
      <c r="C27" t="str">
        <f t="shared" si="0"/>
        <v>Experienced Adulthood</v>
      </c>
      <c r="D27" t="s">
        <v>23</v>
      </c>
      <c r="E27" s="1">
        <v>3</v>
      </c>
      <c r="F27" s="1">
        <v>4</v>
      </c>
      <c r="G27" s="1">
        <v>7</v>
      </c>
      <c r="H27" s="1">
        <v>5</v>
      </c>
      <c r="I27" s="1">
        <v>1</v>
      </c>
      <c r="J27" s="1">
        <v>2</v>
      </c>
      <c r="K27" s="1">
        <v>6</v>
      </c>
      <c r="L27" t="s">
        <v>23</v>
      </c>
      <c r="M27" t="s">
        <v>58</v>
      </c>
      <c r="N27" t="s">
        <v>61</v>
      </c>
      <c r="O27" t="s">
        <v>26</v>
      </c>
      <c r="P27" t="s">
        <v>45</v>
      </c>
      <c r="Q27" t="s">
        <v>28</v>
      </c>
      <c r="R27" t="s">
        <v>29</v>
      </c>
      <c r="S27" t="s">
        <v>30</v>
      </c>
      <c r="T27" t="s">
        <v>31</v>
      </c>
      <c r="U27" t="s">
        <v>25</v>
      </c>
      <c r="V27" t="s">
        <v>32</v>
      </c>
      <c r="W27" t="s">
        <v>49</v>
      </c>
      <c r="X27" t="s">
        <v>34</v>
      </c>
      <c r="Y27" t="s">
        <v>43</v>
      </c>
    </row>
    <row r="28" spans="1:25" x14ac:dyDescent="0.35">
      <c r="A28" t="s">
        <v>44</v>
      </c>
      <c r="B28">
        <v>26</v>
      </c>
      <c r="C28" t="str">
        <f t="shared" si="0"/>
        <v>Established Adulthood</v>
      </c>
      <c r="D28" t="s">
        <v>23</v>
      </c>
      <c r="E28" s="1">
        <v>3</v>
      </c>
      <c r="F28" s="1">
        <v>4</v>
      </c>
      <c r="G28" s="1">
        <v>6</v>
      </c>
      <c r="H28" s="1">
        <v>5</v>
      </c>
      <c r="I28" s="1">
        <v>1</v>
      </c>
      <c r="J28" s="1">
        <v>2</v>
      </c>
      <c r="K28" s="1">
        <v>7</v>
      </c>
      <c r="L28" t="s">
        <v>23</v>
      </c>
      <c r="M28" t="s">
        <v>24</v>
      </c>
      <c r="N28" t="s">
        <v>25</v>
      </c>
      <c r="O28" t="s">
        <v>26</v>
      </c>
      <c r="P28" t="s">
        <v>45</v>
      </c>
      <c r="Q28" t="s">
        <v>28</v>
      </c>
      <c r="R28" t="s">
        <v>29</v>
      </c>
      <c r="S28" t="s">
        <v>30</v>
      </c>
      <c r="T28" t="s">
        <v>31</v>
      </c>
      <c r="U28" t="s">
        <v>41</v>
      </c>
      <c r="V28" t="s">
        <v>54</v>
      </c>
      <c r="W28" t="s">
        <v>49</v>
      </c>
      <c r="X28" t="s">
        <v>34</v>
      </c>
      <c r="Y28" t="s">
        <v>43</v>
      </c>
    </row>
    <row r="29" spans="1:25" x14ac:dyDescent="0.35">
      <c r="A29" t="s">
        <v>44</v>
      </c>
      <c r="B29">
        <v>31</v>
      </c>
      <c r="C29" t="str">
        <f t="shared" si="0"/>
        <v>Experienced Adulthood</v>
      </c>
      <c r="D29" t="s">
        <v>23</v>
      </c>
      <c r="E29" s="1">
        <v>2</v>
      </c>
      <c r="F29" s="1">
        <v>3</v>
      </c>
      <c r="G29" s="1">
        <v>7</v>
      </c>
      <c r="H29" s="1">
        <v>6</v>
      </c>
      <c r="I29" s="1">
        <v>4</v>
      </c>
      <c r="J29" s="1">
        <v>1</v>
      </c>
      <c r="K29" s="1">
        <v>5</v>
      </c>
      <c r="L29" t="s">
        <v>23</v>
      </c>
      <c r="M29" t="s">
        <v>58</v>
      </c>
      <c r="N29" t="s">
        <v>61</v>
      </c>
      <c r="O29" t="s">
        <v>62</v>
      </c>
      <c r="P29" t="s">
        <v>27</v>
      </c>
      <c r="Q29" t="s">
        <v>28</v>
      </c>
      <c r="R29" t="s">
        <v>29</v>
      </c>
      <c r="S29" t="s">
        <v>63</v>
      </c>
      <c r="T29" t="s">
        <v>40</v>
      </c>
      <c r="U29" t="s">
        <v>25</v>
      </c>
      <c r="V29" t="s">
        <v>54</v>
      </c>
      <c r="W29" t="s">
        <v>33</v>
      </c>
      <c r="X29" t="s">
        <v>34</v>
      </c>
      <c r="Y29" t="s">
        <v>50</v>
      </c>
    </row>
    <row r="30" spans="1:25" x14ac:dyDescent="0.35">
      <c r="A30" t="s">
        <v>44</v>
      </c>
      <c r="B30">
        <v>29</v>
      </c>
      <c r="C30" t="str">
        <f t="shared" si="0"/>
        <v>Established Adulthood</v>
      </c>
      <c r="D30" t="s">
        <v>23</v>
      </c>
      <c r="E30" s="1">
        <v>2</v>
      </c>
      <c r="F30" s="1">
        <v>3</v>
      </c>
      <c r="G30" s="1">
        <v>6</v>
      </c>
      <c r="H30" s="1">
        <v>5</v>
      </c>
      <c r="I30" s="1">
        <v>1</v>
      </c>
      <c r="J30" s="1">
        <v>4</v>
      </c>
      <c r="K30" s="1">
        <v>7</v>
      </c>
      <c r="L30" t="s">
        <v>23</v>
      </c>
      <c r="M30" t="s">
        <v>24</v>
      </c>
      <c r="N30" t="s">
        <v>25</v>
      </c>
      <c r="O30" t="s">
        <v>26</v>
      </c>
      <c r="P30" t="s">
        <v>27</v>
      </c>
      <c r="Q30" t="s">
        <v>28</v>
      </c>
      <c r="R30" t="s">
        <v>29</v>
      </c>
      <c r="S30" t="s">
        <v>47</v>
      </c>
      <c r="T30" t="s">
        <v>31</v>
      </c>
      <c r="U30" t="s">
        <v>25</v>
      </c>
      <c r="V30" t="s">
        <v>32</v>
      </c>
      <c r="W30" t="s">
        <v>49</v>
      </c>
      <c r="X30" t="s">
        <v>57</v>
      </c>
      <c r="Y30" t="s">
        <v>50</v>
      </c>
    </row>
    <row r="31" spans="1:25" x14ac:dyDescent="0.35">
      <c r="A31" t="s">
        <v>22</v>
      </c>
      <c r="B31">
        <v>34</v>
      </c>
      <c r="C31" t="str">
        <f t="shared" si="0"/>
        <v>Experienced Adulthood</v>
      </c>
      <c r="D31" t="s">
        <v>23</v>
      </c>
      <c r="E31" s="1">
        <v>5</v>
      </c>
      <c r="F31" s="1">
        <v>4</v>
      </c>
      <c r="G31" s="1">
        <v>3</v>
      </c>
      <c r="H31" s="1">
        <v>2</v>
      </c>
      <c r="I31" s="1">
        <v>7</v>
      </c>
      <c r="J31" s="1">
        <v>1</v>
      </c>
      <c r="K31" s="1">
        <v>6</v>
      </c>
      <c r="L31" t="s">
        <v>23</v>
      </c>
      <c r="M31" t="s">
        <v>24</v>
      </c>
      <c r="N31" t="s">
        <v>51</v>
      </c>
      <c r="O31" t="s">
        <v>24</v>
      </c>
      <c r="P31" t="s">
        <v>45</v>
      </c>
      <c r="Q31" t="s">
        <v>28</v>
      </c>
      <c r="R31" t="s">
        <v>53</v>
      </c>
      <c r="S31" t="s">
        <v>30</v>
      </c>
      <c r="T31" t="s">
        <v>31</v>
      </c>
      <c r="U31" t="s">
        <v>25</v>
      </c>
      <c r="V31" t="s">
        <v>48</v>
      </c>
      <c r="W31" t="s">
        <v>33</v>
      </c>
      <c r="X31" t="s">
        <v>34</v>
      </c>
      <c r="Y31" t="s">
        <v>35</v>
      </c>
    </row>
    <row r="32" spans="1:25" x14ac:dyDescent="0.35">
      <c r="A32" t="s">
        <v>44</v>
      </c>
      <c r="B32">
        <v>27</v>
      </c>
      <c r="C32" t="str">
        <f t="shared" si="0"/>
        <v>Established Adulthood</v>
      </c>
      <c r="D32" t="s">
        <v>23</v>
      </c>
      <c r="E32" s="1">
        <v>4</v>
      </c>
      <c r="F32" s="1">
        <v>5</v>
      </c>
      <c r="G32" s="1">
        <v>1</v>
      </c>
      <c r="H32" s="1">
        <v>2</v>
      </c>
      <c r="I32" s="1">
        <v>7</v>
      </c>
      <c r="J32" s="1">
        <v>3</v>
      </c>
      <c r="K32" s="1">
        <v>6</v>
      </c>
      <c r="L32" t="s">
        <v>36</v>
      </c>
      <c r="M32" t="s">
        <v>24</v>
      </c>
      <c r="N32" t="s">
        <v>61</v>
      </c>
      <c r="O32" t="s">
        <v>26</v>
      </c>
      <c r="P32" t="s">
        <v>27</v>
      </c>
      <c r="Q32" t="s">
        <v>28</v>
      </c>
      <c r="R32" t="s">
        <v>53</v>
      </c>
      <c r="S32" t="s">
        <v>30</v>
      </c>
      <c r="T32" t="s">
        <v>64</v>
      </c>
      <c r="U32" t="s">
        <v>25</v>
      </c>
      <c r="V32" t="s">
        <v>48</v>
      </c>
      <c r="W32" t="s">
        <v>33</v>
      </c>
      <c r="X32" t="s">
        <v>34</v>
      </c>
      <c r="Y32" t="s">
        <v>50</v>
      </c>
    </row>
    <row r="33" spans="1:25" x14ac:dyDescent="0.35">
      <c r="A33" t="s">
        <v>22</v>
      </c>
      <c r="B33">
        <v>31</v>
      </c>
      <c r="C33" t="str">
        <f t="shared" si="0"/>
        <v>Experienced Adulthood</v>
      </c>
      <c r="D33" t="s">
        <v>23</v>
      </c>
      <c r="E33" s="1">
        <v>2</v>
      </c>
      <c r="F33" s="1">
        <v>4</v>
      </c>
      <c r="G33" s="1">
        <v>7</v>
      </c>
      <c r="H33" s="1">
        <v>6</v>
      </c>
      <c r="I33" s="1">
        <v>3</v>
      </c>
      <c r="J33" s="1">
        <v>1</v>
      </c>
      <c r="K33" s="1">
        <v>5</v>
      </c>
      <c r="L33" t="s">
        <v>23</v>
      </c>
      <c r="M33" t="s">
        <v>24</v>
      </c>
      <c r="N33" t="s">
        <v>25</v>
      </c>
      <c r="O33" t="s">
        <v>26</v>
      </c>
      <c r="P33" t="s">
        <v>45</v>
      </c>
      <c r="Q33" t="s">
        <v>28</v>
      </c>
      <c r="R33" t="s">
        <v>29</v>
      </c>
      <c r="S33" t="s">
        <v>63</v>
      </c>
      <c r="T33" t="s">
        <v>31</v>
      </c>
      <c r="U33" t="s">
        <v>25</v>
      </c>
      <c r="V33" t="s">
        <v>32</v>
      </c>
      <c r="W33" t="s">
        <v>49</v>
      </c>
      <c r="X33" t="s">
        <v>34</v>
      </c>
      <c r="Y33" t="s">
        <v>43</v>
      </c>
    </row>
    <row r="34" spans="1:25" x14ac:dyDescent="0.35">
      <c r="A34" t="s">
        <v>44</v>
      </c>
      <c r="B34">
        <v>27</v>
      </c>
      <c r="C34" t="str">
        <f t="shared" si="0"/>
        <v>Established Adulthood</v>
      </c>
      <c r="D34" t="s">
        <v>23</v>
      </c>
      <c r="E34" s="1">
        <v>2</v>
      </c>
      <c r="F34" s="1">
        <v>4</v>
      </c>
      <c r="G34" s="1">
        <v>7</v>
      </c>
      <c r="H34" s="1">
        <v>5</v>
      </c>
      <c r="I34" s="1">
        <v>1</v>
      </c>
      <c r="J34" s="1">
        <v>3</v>
      </c>
      <c r="K34" s="1">
        <v>6</v>
      </c>
      <c r="L34" t="s">
        <v>23</v>
      </c>
      <c r="M34" t="s">
        <v>24</v>
      </c>
      <c r="N34" t="s">
        <v>25</v>
      </c>
      <c r="O34" t="s">
        <v>26</v>
      </c>
      <c r="P34" t="s">
        <v>45</v>
      </c>
      <c r="Q34" t="s">
        <v>28</v>
      </c>
      <c r="R34" t="s">
        <v>59</v>
      </c>
      <c r="S34" t="s">
        <v>47</v>
      </c>
      <c r="T34" t="s">
        <v>40</v>
      </c>
      <c r="U34" t="s">
        <v>25</v>
      </c>
      <c r="V34" t="s">
        <v>54</v>
      </c>
      <c r="W34" t="s">
        <v>49</v>
      </c>
      <c r="X34" t="s">
        <v>34</v>
      </c>
      <c r="Y34" t="s">
        <v>35</v>
      </c>
    </row>
    <row r="35" spans="1:25" x14ac:dyDescent="0.35">
      <c r="A35" t="s">
        <v>44</v>
      </c>
      <c r="B35">
        <v>26</v>
      </c>
      <c r="C35" t="str">
        <f t="shared" si="0"/>
        <v>Established Adulthood</v>
      </c>
      <c r="D35" t="s">
        <v>23</v>
      </c>
      <c r="E35" s="1">
        <v>2</v>
      </c>
      <c r="F35" s="1">
        <v>3</v>
      </c>
      <c r="G35" s="1">
        <v>6</v>
      </c>
      <c r="H35" s="1">
        <v>4</v>
      </c>
      <c r="I35" s="1">
        <v>1</v>
      </c>
      <c r="J35" s="1">
        <v>5</v>
      </c>
      <c r="K35" s="1">
        <v>7</v>
      </c>
      <c r="L35" t="s">
        <v>23</v>
      </c>
      <c r="M35" t="s">
        <v>24</v>
      </c>
      <c r="N35" t="s">
        <v>25</v>
      </c>
      <c r="O35" t="s">
        <v>24</v>
      </c>
      <c r="P35" t="s">
        <v>27</v>
      </c>
      <c r="Q35" t="s">
        <v>28</v>
      </c>
      <c r="R35" t="s">
        <v>29</v>
      </c>
      <c r="S35" t="s">
        <v>63</v>
      </c>
      <c r="T35" t="s">
        <v>64</v>
      </c>
      <c r="U35" t="s">
        <v>41</v>
      </c>
      <c r="V35" t="s">
        <v>32</v>
      </c>
      <c r="W35" t="s">
        <v>33</v>
      </c>
      <c r="X35" t="s">
        <v>57</v>
      </c>
      <c r="Y35" t="s">
        <v>35</v>
      </c>
    </row>
    <row r="36" spans="1:25" x14ac:dyDescent="0.35">
      <c r="A36" t="s">
        <v>44</v>
      </c>
      <c r="B36">
        <v>27</v>
      </c>
      <c r="C36" t="str">
        <f t="shared" si="0"/>
        <v>Established Adulthood</v>
      </c>
      <c r="D36" t="s">
        <v>23</v>
      </c>
      <c r="E36" s="1">
        <v>2</v>
      </c>
      <c r="F36" s="1">
        <v>3</v>
      </c>
      <c r="G36" s="1">
        <v>6</v>
      </c>
      <c r="H36" s="1">
        <v>5</v>
      </c>
      <c r="I36" s="1">
        <v>4</v>
      </c>
      <c r="J36" s="1">
        <v>1</v>
      </c>
      <c r="K36" s="1">
        <v>7</v>
      </c>
      <c r="L36" t="s">
        <v>23</v>
      </c>
      <c r="M36" t="s">
        <v>24</v>
      </c>
      <c r="N36" t="s">
        <v>25</v>
      </c>
      <c r="O36" t="s">
        <v>26</v>
      </c>
      <c r="P36" t="s">
        <v>27</v>
      </c>
      <c r="Q36" t="s">
        <v>39</v>
      </c>
      <c r="R36" t="s">
        <v>29</v>
      </c>
      <c r="S36" t="s">
        <v>30</v>
      </c>
      <c r="T36" t="s">
        <v>40</v>
      </c>
      <c r="U36" t="s">
        <v>25</v>
      </c>
      <c r="V36" t="s">
        <v>32</v>
      </c>
      <c r="W36" t="s">
        <v>33</v>
      </c>
      <c r="X36" t="s">
        <v>34</v>
      </c>
      <c r="Y36" t="s">
        <v>43</v>
      </c>
    </row>
    <row r="37" spans="1:25" x14ac:dyDescent="0.35">
      <c r="A37" t="s">
        <v>44</v>
      </c>
      <c r="B37">
        <v>30</v>
      </c>
      <c r="C37" t="str">
        <f t="shared" si="0"/>
        <v>Established Adulthood</v>
      </c>
      <c r="D37" t="s">
        <v>23</v>
      </c>
      <c r="E37" s="1">
        <v>1</v>
      </c>
      <c r="F37" s="1">
        <v>4</v>
      </c>
      <c r="G37" s="1">
        <v>6</v>
      </c>
      <c r="H37" s="1">
        <v>5</v>
      </c>
      <c r="I37" s="1">
        <v>3</v>
      </c>
      <c r="J37" s="1">
        <v>2</v>
      </c>
      <c r="K37" s="1">
        <v>7</v>
      </c>
      <c r="L37" t="s">
        <v>23</v>
      </c>
      <c r="M37" t="s">
        <v>58</v>
      </c>
      <c r="N37" t="s">
        <v>61</v>
      </c>
      <c r="O37" t="s">
        <v>26</v>
      </c>
      <c r="P37" t="s">
        <v>45</v>
      </c>
      <c r="Q37" t="s">
        <v>28</v>
      </c>
      <c r="R37" t="s">
        <v>29</v>
      </c>
      <c r="S37" t="s">
        <v>63</v>
      </c>
      <c r="T37" t="s">
        <v>40</v>
      </c>
      <c r="U37" t="s">
        <v>25</v>
      </c>
      <c r="V37" t="s">
        <v>32</v>
      </c>
      <c r="W37" t="s">
        <v>49</v>
      </c>
      <c r="X37" t="s">
        <v>34</v>
      </c>
      <c r="Y37" t="s">
        <v>43</v>
      </c>
    </row>
    <row r="38" spans="1:25" x14ac:dyDescent="0.35">
      <c r="A38" t="s">
        <v>44</v>
      </c>
      <c r="B38">
        <v>30</v>
      </c>
      <c r="C38" t="str">
        <f t="shared" si="0"/>
        <v>Established Adulthood</v>
      </c>
      <c r="D38" t="s">
        <v>23</v>
      </c>
      <c r="E38" s="1">
        <v>2</v>
      </c>
      <c r="F38" s="1">
        <v>4</v>
      </c>
      <c r="G38" s="1">
        <v>7</v>
      </c>
      <c r="H38" s="1">
        <v>5</v>
      </c>
      <c r="I38" s="1">
        <v>1</v>
      </c>
      <c r="J38" s="1">
        <v>3</v>
      </c>
      <c r="K38" s="1">
        <v>6</v>
      </c>
      <c r="L38" t="s">
        <v>23</v>
      </c>
      <c r="M38" t="s">
        <v>24</v>
      </c>
      <c r="N38" t="s">
        <v>25</v>
      </c>
      <c r="O38" t="s">
        <v>26</v>
      </c>
      <c r="P38" t="s">
        <v>27</v>
      </c>
      <c r="Q38" t="s">
        <v>28</v>
      </c>
      <c r="R38" t="s">
        <v>29</v>
      </c>
      <c r="S38" t="s">
        <v>47</v>
      </c>
      <c r="T38" t="s">
        <v>31</v>
      </c>
      <c r="U38" t="s">
        <v>25</v>
      </c>
      <c r="V38" t="s">
        <v>32</v>
      </c>
      <c r="W38" t="s">
        <v>49</v>
      </c>
      <c r="X38" t="s">
        <v>57</v>
      </c>
      <c r="Y38" t="s">
        <v>35</v>
      </c>
    </row>
    <row r="39" spans="1:25" x14ac:dyDescent="0.35">
      <c r="A39" t="s">
        <v>44</v>
      </c>
      <c r="B39">
        <v>25</v>
      </c>
      <c r="C39" t="str">
        <f t="shared" si="0"/>
        <v>Early Adulthood</v>
      </c>
      <c r="D39" t="s">
        <v>23</v>
      </c>
      <c r="E39" s="1">
        <v>5</v>
      </c>
      <c r="F39" s="1">
        <v>4</v>
      </c>
      <c r="G39" s="1">
        <v>7</v>
      </c>
      <c r="H39" s="1">
        <v>6</v>
      </c>
      <c r="I39" s="1">
        <v>1</v>
      </c>
      <c r="J39" s="1">
        <v>2</v>
      </c>
      <c r="K39" s="1">
        <v>3</v>
      </c>
      <c r="L39" t="s">
        <v>23</v>
      </c>
      <c r="M39" t="s">
        <v>58</v>
      </c>
      <c r="N39" t="s">
        <v>61</v>
      </c>
      <c r="O39" t="s">
        <v>62</v>
      </c>
      <c r="P39" t="s">
        <v>45</v>
      </c>
      <c r="Q39" t="s">
        <v>28</v>
      </c>
      <c r="R39" t="s">
        <v>59</v>
      </c>
      <c r="S39" t="s">
        <v>65</v>
      </c>
      <c r="T39" t="s">
        <v>40</v>
      </c>
      <c r="U39" t="s">
        <v>25</v>
      </c>
      <c r="V39" t="s">
        <v>32</v>
      </c>
      <c r="W39" t="s">
        <v>33</v>
      </c>
      <c r="X39" t="s">
        <v>34</v>
      </c>
      <c r="Y39" t="s">
        <v>43</v>
      </c>
    </row>
    <row r="40" spans="1:25" x14ac:dyDescent="0.35">
      <c r="A40" t="s">
        <v>44</v>
      </c>
      <c r="B40">
        <v>31</v>
      </c>
      <c r="C40" t="str">
        <f t="shared" si="0"/>
        <v>Experienced Adulthood</v>
      </c>
      <c r="D40" t="s">
        <v>23</v>
      </c>
      <c r="E40" s="1">
        <v>2</v>
      </c>
      <c r="F40" s="1">
        <v>4</v>
      </c>
      <c r="G40" s="1">
        <v>7</v>
      </c>
      <c r="H40" s="1">
        <v>5</v>
      </c>
      <c r="I40" s="1">
        <v>3</v>
      </c>
      <c r="J40" s="1">
        <v>1</v>
      </c>
      <c r="K40" s="1">
        <v>6</v>
      </c>
      <c r="L40" t="s">
        <v>23</v>
      </c>
      <c r="M40" t="s">
        <v>58</v>
      </c>
      <c r="N40" t="s">
        <v>61</v>
      </c>
      <c r="O40" t="s">
        <v>26</v>
      </c>
      <c r="P40" t="s">
        <v>27</v>
      </c>
      <c r="Q40" t="s">
        <v>39</v>
      </c>
      <c r="R40" t="s">
        <v>29</v>
      </c>
      <c r="S40" t="s">
        <v>47</v>
      </c>
      <c r="T40" t="s">
        <v>40</v>
      </c>
      <c r="U40" t="s">
        <v>41</v>
      </c>
      <c r="V40" t="s">
        <v>54</v>
      </c>
      <c r="W40" t="s">
        <v>49</v>
      </c>
      <c r="X40" t="s">
        <v>34</v>
      </c>
      <c r="Y40" t="s">
        <v>35</v>
      </c>
    </row>
    <row r="41" spans="1:25" x14ac:dyDescent="0.35">
      <c r="A41" t="s">
        <v>44</v>
      </c>
      <c r="B41">
        <v>29</v>
      </c>
      <c r="C41" t="str">
        <f t="shared" si="0"/>
        <v>Established Adulthood</v>
      </c>
      <c r="D41" t="s">
        <v>23</v>
      </c>
      <c r="E41" s="1">
        <v>4</v>
      </c>
      <c r="F41" s="1">
        <v>3</v>
      </c>
      <c r="G41" s="1">
        <v>5</v>
      </c>
      <c r="H41" s="1">
        <v>7</v>
      </c>
      <c r="I41" s="1">
        <v>2</v>
      </c>
      <c r="J41" s="1">
        <v>1</v>
      </c>
      <c r="K41" s="1">
        <v>6</v>
      </c>
      <c r="L41" t="s">
        <v>23</v>
      </c>
      <c r="M41" t="s">
        <v>24</v>
      </c>
      <c r="N41" t="s">
        <v>25</v>
      </c>
      <c r="O41" t="s">
        <v>26</v>
      </c>
      <c r="P41" t="s">
        <v>45</v>
      </c>
      <c r="Q41" t="s">
        <v>28</v>
      </c>
      <c r="R41" t="s">
        <v>29</v>
      </c>
      <c r="S41" t="s">
        <v>63</v>
      </c>
      <c r="T41" t="s">
        <v>31</v>
      </c>
      <c r="U41" t="s">
        <v>41</v>
      </c>
      <c r="V41" t="s">
        <v>32</v>
      </c>
      <c r="W41" t="s">
        <v>33</v>
      </c>
      <c r="X41" t="s">
        <v>34</v>
      </c>
      <c r="Y41"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BE8D9-7DEA-45DD-B688-3D512ABE6069}">
  <dimension ref="A1:C1"/>
  <sheetViews>
    <sheetView showGridLines="0" showRowColHeaders="0" workbookViewId="0">
      <selection sqref="A1:C1"/>
    </sheetView>
  </sheetViews>
  <sheetFormatPr defaultRowHeight="14.5" x14ac:dyDescent="0.35"/>
  <sheetData>
    <row r="1" spans="1:3" x14ac:dyDescent="0.35">
      <c r="A1" s="2"/>
      <c r="B1" s="2"/>
      <c r="C1" s="2"/>
    </row>
  </sheetData>
  <mergeCells count="1">
    <mergeCell ref="A1:C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D62F9-8419-43D3-B93A-8438AEA930BA}">
  <dimension ref="A2:F100"/>
  <sheetViews>
    <sheetView topLeftCell="A93" workbookViewId="0">
      <selection activeCell="E114" sqref="E114"/>
    </sheetView>
  </sheetViews>
  <sheetFormatPr defaultRowHeight="14.5" x14ac:dyDescent="0.35"/>
  <cols>
    <col min="1" max="1" width="21.36328125" bestFit="1" customWidth="1"/>
    <col min="2" max="2" width="21.453125" bestFit="1" customWidth="1"/>
    <col min="3" max="3" width="17.90625" bestFit="1" customWidth="1"/>
    <col min="4" max="4" width="10.90625" bestFit="1" customWidth="1"/>
    <col min="5" max="6" width="10.36328125" bestFit="1" customWidth="1"/>
  </cols>
  <sheetData>
    <row r="2" spans="1:4" x14ac:dyDescent="0.35">
      <c r="A2" t="s">
        <v>66</v>
      </c>
    </row>
    <row r="3" spans="1:4" x14ac:dyDescent="0.35">
      <c r="A3" s="6" t="s">
        <v>69</v>
      </c>
    </row>
    <row r="4" spans="1:4" x14ac:dyDescent="0.35">
      <c r="A4" s="7" t="s">
        <v>70</v>
      </c>
    </row>
    <row r="5" spans="1:4" x14ac:dyDescent="0.35">
      <c r="A5" s="7"/>
    </row>
    <row r="6" spans="1:4" x14ac:dyDescent="0.35">
      <c r="A6" s="3" t="s">
        <v>71</v>
      </c>
      <c r="B6" s="3" t="s">
        <v>73</v>
      </c>
    </row>
    <row r="7" spans="1:4" x14ac:dyDescent="0.35">
      <c r="A7" s="3" t="s">
        <v>72</v>
      </c>
      <c r="B7" t="s">
        <v>22</v>
      </c>
      <c r="C7" t="s">
        <v>44</v>
      </c>
      <c r="D7" t="s">
        <v>67</v>
      </c>
    </row>
    <row r="8" spans="1:4" x14ac:dyDescent="0.35">
      <c r="A8" s="4" t="s">
        <v>30</v>
      </c>
      <c r="B8" s="5">
        <v>8</v>
      </c>
      <c r="C8" s="5">
        <v>10</v>
      </c>
      <c r="D8" s="5">
        <v>18</v>
      </c>
    </row>
    <row r="9" spans="1:4" x14ac:dyDescent="0.35">
      <c r="A9" s="4" t="s">
        <v>47</v>
      </c>
      <c r="B9" s="5">
        <v>3</v>
      </c>
      <c r="C9" s="5">
        <v>7</v>
      </c>
      <c r="D9" s="5">
        <v>10</v>
      </c>
    </row>
    <row r="10" spans="1:4" x14ac:dyDescent="0.35">
      <c r="A10" s="4" t="s">
        <v>63</v>
      </c>
      <c r="B10" s="5">
        <v>3</v>
      </c>
      <c r="C10" s="5">
        <v>6</v>
      </c>
      <c r="D10" s="5">
        <v>9</v>
      </c>
    </row>
    <row r="11" spans="1:4" x14ac:dyDescent="0.35">
      <c r="A11" s="4" t="s">
        <v>65</v>
      </c>
      <c r="B11" s="5">
        <v>1</v>
      </c>
      <c r="C11" s="5">
        <v>2</v>
      </c>
      <c r="D11" s="5">
        <v>3</v>
      </c>
    </row>
    <row r="12" spans="1:4" x14ac:dyDescent="0.35">
      <c r="A12" s="4" t="s">
        <v>67</v>
      </c>
      <c r="B12" s="5">
        <v>15</v>
      </c>
      <c r="C12" s="5">
        <v>25</v>
      </c>
      <c r="D12" s="5">
        <v>40</v>
      </c>
    </row>
    <row r="14" spans="1:4" x14ac:dyDescent="0.35">
      <c r="A14" s="4"/>
    </row>
    <row r="21" spans="1:6" x14ac:dyDescent="0.35">
      <c r="A21" t="s">
        <v>80</v>
      </c>
    </row>
    <row r="23" spans="1:6" x14ac:dyDescent="0.35">
      <c r="A23" s="3" t="s">
        <v>68</v>
      </c>
      <c r="B23" s="3" t="s">
        <v>78</v>
      </c>
    </row>
    <row r="24" spans="1:6" x14ac:dyDescent="0.35">
      <c r="A24" s="3" t="s">
        <v>79</v>
      </c>
      <c r="B24" t="s">
        <v>47</v>
      </c>
      <c r="C24" t="s">
        <v>63</v>
      </c>
      <c r="D24" t="s">
        <v>30</v>
      </c>
      <c r="E24" t="s">
        <v>65</v>
      </c>
      <c r="F24" t="s">
        <v>67</v>
      </c>
    </row>
    <row r="25" spans="1:6" x14ac:dyDescent="0.35">
      <c r="A25" s="4" t="s">
        <v>74</v>
      </c>
      <c r="B25" s="5">
        <v>3</v>
      </c>
      <c r="C25" s="5">
        <v>1</v>
      </c>
      <c r="D25" s="5">
        <v>4</v>
      </c>
      <c r="E25" s="5">
        <v>2</v>
      </c>
      <c r="F25" s="5">
        <v>10</v>
      </c>
    </row>
    <row r="26" spans="1:6" x14ac:dyDescent="0.35">
      <c r="A26" s="4" t="s">
        <v>75</v>
      </c>
      <c r="B26" s="5">
        <v>5</v>
      </c>
      <c r="C26" s="5">
        <v>5</v>
      </c>
      <c r="D26" s="5">
        <v>10</v>
      </c>
      <c r="E26" s="5">
        <v>1</v>
      </c>
      <c r="F26" s="5">
        <v>21</v>
      </c>
    </row>
    <row r="27" spans="1:6" x14ac:dyDescent="0.35">
      <c r="A27" s="4" t="s">
        <v>76</v>
      </c>
      <c r="B27" s="5">
        <v>2</v>
      </c>
      <c r="C27" s="5">
        <v>3</v>
      </c>
      <c r="D27" s="5">
        <v>4</v>
      </c>
      <c r="E27" s="5"/>
      <c r="F27" s="5">
        <v>9</v>
      </c>
    </row>
    <row r="28" spans="1:6" x14ac:dyDescent="0.35">
      <c r="A28" s="4" t="s">
        <v>67</v>
      </c>
      <c r="B28" s="5">
        <v>10</v>
      </c>
      <c r="C28" s="5">
        <v>9</v>
      </c>
      <c r="D28" s="5">
        <v>18</v>
      </c>
      <c r="E28" s="5">
        <v>3</v>
      </c>
      <c r="F28" s="5">
        <v>40</v>
      </c>
    </row>
    <row r="47" spans="1:1" x14ac:dyDescent="0.35">
      <c r="A47" s="8" t="s">
        <v>81</v>
      </c>
    </row>
    <row r="49" spans="1:5" x14ac:dyDescent="0.35">
      <c r="A49" s="3" t="s">
        <v>82</v>
      </c>
      <c r="B49" s="3" t="s">
        <v>83</v>
      </c>
    </row>
    <row r="50" spans="1:5" x14ac:dyDescent="0.35">
      <c r="A50" s="3" t="s">
        <v>79</v>
      </c>
      <c r="B50" t="s">
        <v>37</v>
      </c>
      <c r="C50" t="s">
        <v>24</v>
      </c>
      <c r="D50" t="s">
        <v>58</v>
      </c>
      <c r="E50" t="s">
        <v>67</v>
      </c>
    </row>
    <row r="51" spans="1:5" x14ac:dyDescent="0.35">
      <c r="A51" s="4" t="s">
        <v>74</v>
      </c>
      <c r="B51" s="5">
        <v>1</v>
      </c>
      <c r="C51" s="5">
        <v>4</v>
      </c>
      <c r="D51" s="5">
        <v>5</v>
      </c>
      <c r="E51" s="5">
        <v>10</v>
      </c>
    </row>
    <row r="52" spans="1:5" x14ac:dyDescent="0.35">
      <c r="A52" s="4" t="s">
        <v>75</v>
      </c>
      <c r="B52" s="5"/>
      <c r="C52" s="5">
        <v>16</v>
      </c>
      <c r="D52" s="5">
        <v>5</v>
      </c>
      <c r="E52" s="5">
        <v>21</v>
      </c>
    </row>
    <row r="53" spans="1:5" x14ac:dyDescent="0.35">
      <c r="A53" s="4" t="s">
        <v>76</v>
      </c>
      <c r="B53" s="5"/>
      <c r="C53" s="5">
        <v>5</v>
      </c>
      <c r="D53" s="5">
        <v>4</v>
      </c>
      <c r="E53" s="5">
        <v>9</v>
      </c>
    </row>
    <row r="54" spans="1:5" x14ac:dyDescent="0.35">
      <c r="A54" s="4" t="s">
        <v>67</v>
      </c>
      <c r="B54" s="5">
        <v>1</v>
      </c>
      <c r="C54" s="5">
        <v>25</v>
      </c>
      <c r="D54" s="5">
        <v>14</v>
      </c>
      <c r="E54" s="5">
        <v>40</v>
      </c>
    </row>
    <row r="65" spans="1:5" x14ac:dyDescent="0.35">
      <c r="A65" s="8" t="s">
        <v>84</v>
      </c>
    </row>
    <row r="67" spans="1:5" x14ac:dyDescent="0.35">
      <c r="A67" s="3" t="s">
        <v>87</v>
      </c>
      <c r="B67" s="3" t="s">
        <v>88</v>
      </c>
    </row>
    <row r="68" spans="1:5" x14ac:dyDescent="0.35">
      <c r="A68" s="3" t="s">
        <v>85</v>
      </c>
      <c r="B68" t="s">
        <v>64</v>
      </c>
      <c r="C68" t="s">
        <v>40</v>
      </c>
      <c r="D68" t="s">
        <v>31</v>
      </c>
      <c r="E68" t="s">
        <v>67</v>
      </c>
    </row>
    <row r="69" spans="1:5" x14ac:dyDescent="0.35">
      <c r="A69" s="4" t="s">
        <v>45</v>
      </c>
      <c r="B69" s="5"/>
      <c r="C69" s="5">
        <v>6</v>
      </c>
      <c r="D69" s="5">
        <v>13</v>
      </c>
      <c r="E69" s="5">
        <v>19</v>
      </c>
    </row>
    <row r="70" spans="1:5" x14ac:dyDescent="0.35">
      <c r="A70" s="4" t="s">
        <v>27</v>
      </c>
      <c r="B70" s="5">
        <v>3</v>
      </c>
      <c r="C70" s="5">
        <v>6</v>
      </c>
      <c r="D70" s="5">
        <v>9</v>
      </c>
      <c r="E70" s="5">
        <v>18</v>
      </c>
    </row>
    <row r="71" spans="1:5" x14ac:dyDescent="0.35">
      <c r="A71" s="4" t="s">
        <v>52</v>
      </c>
      <c r="B71" s="5"/>
      <c r="C71" s="5"/>
      <c r="D71" s="5">
        <v>2</v>
      </c>
      <c r="E71" s="5">
        <v>2</v>
      </c>
    </row>
    <row r="72" spans="1:5" x14ac:dyDescent="0.35">
      <c r="A72" s="4" t="s">
        <v>38</v>
      </c>
      <c r="B72" s="5"/>
      <c r="C72" s="5">
        <v>1</v>
      </c>
      <c r="D72" s="5"/>
      <c r="E72" s="5">
        <v>1</v>
      </c>
    </row>
    <row r="73" spans="1:5" x14ac:dyDescent="0.35">
      <c r="A73" s="4" t="s">
        <v>67</v>
      </c>
      <c r="B73" s="5">
        <v>3</v>
      </c>
      <c r="C73" s="5">
        <v>13</v>
      </c>
      <c r="D73" s="5">
        <v>24</v>
      </c>
      <c r="E73" s="5">
        <v>40</v>
      </c>
    </row>
    <row r="93" spans="1:5" x14ac:dyDescent="0.35">
      <c r="A93" s="8" t="s">
        <v>89</v>
      </c>
    </row>
    <row r="95" spans="1:5" x14ac:dyDescent="0.35">
      <c r="A95" s="3" t="s">
        <v>91</v>
      </c>
      <c r="B95" s="3" t="s">
        <v>92</v>
      </c>
    </row>
    <row r="96" spans="1:5" x14ac:dyDescent="0.35">
      <c r="A96" s="3" t="s">
        <v>90</v>
      </c>
      <c r="B96" t="s">
        <v>32</v>
      </c>
      <c r="C96" t="s">
        <v>54</v>
      </c>
      <c r="D96" t="s">
        <v>48</v>
      </c>
      <c r="E96" t="s">
        <v>67</v>
      </c>
    </row>
    <row r="97" spans="1:5" x14ac:dyDescent="0.35">
      <c r="A97" s="4" t="s">
        <v>53</v>
      </c>
      <c r="B97" s="5"/>
      <c r="C97" s="5">
        <v>1</v>
      </c>
      <c r="D97" s="5">
        <v>2</v>
      </c>
      <c r="E97" s="5">
        <v>3</v>
      </c>
    </row>
    <row r="98" spans="1:5" x14ac:dyDescent="0.35">
      <c r="A98" s="4" t="s">
        <v>29</v>
      </c>
      <c r="B98" s="5">
        <v>22</v>
      </c>
      <c r="C98" s="5">
        <v>9</v>
      </c>
      <c r="D98" s="5">
        <v>1</v>
      </c>
      <c r="E98" s="5">
        <v>32</v>
      </c>
    </row>
    <row r="99" spans="1:5" x14ac:dyDescent="0.35">
      <c r="A99" s="4" t="s">
        <v>59</v>
      </c>
      <c r="B99" s="5">
        <v>2</v>
      </c>
      <c r="C99" s="5">
        <v>3</v>
      </c>
      <c r="D99" s="5"/>
      <c r="E99" s="5">
        <v>5</v>
      </c>
    </row>
    <row r="100" spans="1:5" x14ac:dyDescent="0.35">
      <c r="A100" s="4" t="s">
        <v>67</v>
      </c>
      <c r="B100" s="5">
        <v>24</v>
      </c>
      <c r="C100" s="5">
        <v>13</v>
      </c>
      <c r="D100" s="5">
        <v>3</v>
      </c>
      <c r="E100" s="5">
        <v>40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693C-8B84-4CB4-BC1D-3E6DD05B2861}">
  <dimension ref="A1"/>
  <sheetViews>
    <sheetView showGridLines="0" showRowColHeaders="0" workbookViewId="0">
      <selection activeCell="P16" sqref="P16"/>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8450-724D-4B7A-8054-393BCE841A07}">
  <dimension ref="M5"/>
  <sheetViews>
    <sheetView showGridLines="0" showRowColHeaders="0" tabSelected="1" workbookViewId="0">
      <selection activeCell="U30" sqref="U30"/>
    </sheetView>
  </sheetViews>
  <sheetFormatPr defaultRowHeight="14.5" x14ac:dyDescent="0.35"/>
  <cols>
    <col min="1" max="16384" width="8.7265625" style="9"/>
  </cols>
  <sheetData>
    <row r="5" spans="13:13" x14ac:dyDescent="0.35">
      <c r="M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Investment Preference Data</vt:lpstr>
      <vt:lpstr>Notes</vt:lpstr>
      <vt:lpstr>Pivot Engine</vt:lpstr>
      <vt:lpstr>Introduction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Damsel Umeh</dc:creator>
  <cp:lastModifiedBy>Mowaninuola Umarudeen</cp:lastModifiedBy>
  <dcterms:created xsi:type="dcterms:W3CDTF">2025-12-05T09:18:59Z</dcterms:created>
  <dcterms:modified xsi:type="dcterms:W3CDTF">2026-09-17T11:36:36Z</dcterms:modified>
</cp:coreProperties>
</file>